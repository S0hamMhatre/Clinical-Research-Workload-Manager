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ham\Documents\Personal\Professional Career\CS\Personal Projects\Clinical Research Workload Manager\"/>
    </mc:Choice>
  </mc:AlternateContent>
  <xr:revisionPtr revIDLastSave="0" documentId="13_ncr:1_{47C86B1B-22C2-479A-B772-81D9FF4E08BC}" xr6:coauthVersionLast="47" xr6:coauthVersionMax="47" xr10:uidLastSave="{00000000-0000-0000-0000-000000000000}"/>
  <bookViews>
    <workbookView xWindow="-120" yWindow="-120" windowWidth="51840" windowHeight="21120" tabRatio="902" activeTab="7" xr2:uid="{B1399787-E820-41EE-BF4A-6E38D803A6A5}"/>
  </bookViews>
  <sheets>
    <sheet name="Macro" sheetId="4" r:id="rId1"/>
    <sheet name="DATA Multiplier Table" sheetId="6" r:id="rId2"/>
    <sheet name="Data Study List" sheetId="3" r:id="rId3"/>
    <sheet name="New Study Criteria Form" sheetId="2" r:id="rId4"/>
    <sheet name="DATA CRC 1" sheetId="7" r:id="rId5"/>
    <sheet name="DATA CRC 2" sheetId="11" r:id="rId6"/>
    <sheet name="DATA CRC 3" sheetId="12" r:id="rId7"/>
    <sheet name="DATA CRC 4" sheetId="13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1" l="1"/>
  <c r="C11" i="7"/>
  <c r="C11" i="13"/>
  <c r="C12" i="12"/>
  <c r="C18" i="11"/>
  <c r="C20" i="13"/>
  <c r="C20" i="11"/>
  <c r="C13" i="13"/>
  <c r="C14" i="13"/>
  <c r="C15" i="13"/>
  <c r="C18" i="13"/>
  <c r="C22" i="13"/>
  <c r="C23" i="13"/>
  <c r="C25" i="13"/>
  <c r="C26" i="13"/>
  <c r="C27" i="13"/>
  <c r="C12" i="11"/>
  <c r="C13" i="11"/>
  <c r="C14" i="11"/>
  <c r="C17" i="11"/>
  <c r="C19" i="11"/>
  <c r="C23" i="11"/>
  <c r="C24" i="11"/>
  <c r="C25" i="11"/>
  <c r="C26" i="11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11" i="12"/>
  <c r="C13" i="12"/>
  <c r="C14" i="12"/>
  <c r="C15" i="12"/>
  <c r="C16" i="12"/>
  <c r="C17" i="12"/>
  <c r="C18" i="12"/>
  <c r="C19" i="12"/>
  <c r="C20" i="12"/>
  <c r="C11" i="11"/>
  <c r="D40" i="11"/>
  <c r="D40" i="12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B6" i="13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B6" i="12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B6" i="11"/>
  <c r="J4" i="3"/>
  <c r="J5" i="3"/>
  <c r="J6" i="3"/>
  <c r="D24" i="13" s="1"/>
  <c r="J7" i="3"/>
  <c r="J8" i="3"/>
  <c r="J9" i="3"/>
  <c r="D21" i="13" s="1"/>
  <c r="J10" i="3"/>
  <c r="J11" i="3"/>
  <c r="D19" i="13" s="1"/>
  <c r="J12" i="3"/>
  <c r="J13" i="3"/>
  <c r="D17" i="13" s="1"/>
  <c r="J14" i="3"/>
  <c r="D16" i="13" s="1"/>
  <c r="J15" i="3"/>
  <c r="J16" i="3"/>
  <c r="J17" i="3"/>
  <c r="D13" i="13" s="1"/>
  <c r="J18" i="3"/>
  <c r="D12" i="13" s="1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D22" i="11" s="1"/>
  <c r="J33" i="3"/>
  <c r="D21" i="11" s="1"/>
  <c r="J34" i="3"/>
  <c r="J35" i="3"/>
  <c r="J36" i="3"/>
  <c r="D18" i="11" s="1"/>
  <c r="J37" i="3"/>
  <c r="J38" i="3"/>
  <c r="D16" i="11" s="1"/>
  <c r="J39" i="3"/>
  <c r="D15" i="11" s="1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3" i="3"/>
  <c r="D32" i="7"/>
  <c r="D33" i="7"/>
  <c r="D34" i="7"/>
  <c r="D35" i="7"/>
  <c r="D36" i="7"/>
  <c r="D37" i="7"/>
  <c r="D38" i="7"/>
  <c r="D39" i="7"/>
  <c r="D40" i="7"/>
  <c r="D11" i="13" l="1"/>
  <c r="D20" i="13"/>
  <c r="D25" i="13"/>
  <c r="D23" i="13"/>
  <c r="D22" i="13"/>
  <c r="D20" i="12"/>
  <c r="D26" i="11"/>
  <c r="D18" i="13"/>
  <c r="D19" i="12"/>
  <c r="D25" i="11"/>
  <c r="D18" i="12"/>
  <c r="D24" i="11"/>
  <c r="D15" i="13"/>
  <c r="D17" i="12"/>
  <c r="D23" i="11"/>
  <c r="D14" i="13"/>
  <c r="D16" i="12"/>
  <c r="D15" i="12"/>
  <c r="D19" i="11"/>
  <c r="D20" i="11"/>
  <c r="D14" i="12"/>
  <c r="D17" i="11"/>
  <c r="D13" i="12"/>
  <c r="D14" i="11"/>
  <c r="D11" i="12"/>
  <c r="D13" i="11"/>
  <c r="D12" i="12"/>
  <c r="D12" i="11"/>
  <c r="D27" i="13"/>
  <c r="D26" i="13"/>
  <c r="C6" i="11"/>
  <c r="C6" i="12"/>
  <c r="D11" i="11"/>
  <c r="C6" i="13"/>
  <c r="D6" i="11" l="1"/>
  <c r="D6" i="13"/>
  <c r="D6" i="12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31" i="7"/>
  <c r="C6" i="7" l="1"/>
  <c r="B6" i="7"/>
  <c r="D30" i="7"/>
  <c r="D12" i="7"/>
  <c r="D11" i="7"/>
  <c r="D37" i="2"/>
  <c r="D36" i="2"/>
  <c r="D35" i="2"/>
  <c r="D34" i="2"/>
  <c r="D33" i="2"/>
  <c r="D32" i="2"/>
  <c r="D31" i="2"/>
  <c r="D30" i="2"/>
  <c r="D29" i="2"/>
  <c r="D6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Laurentzius, Crystal</author>
  </authors>
  <commentList>
    <comment ref="E3" authorId="0" shapeId="0" xr:uid="{7BA15C56-1DEA-4DAB-823C-6338FDFC97F0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Patients will be treated with:
Cabozantinib: 40 mg daily on days 1-28 of a 28-day cycle – to be started 7-14 
days after the last TACE procedure.
Nivolumab 480mg IV on day 1 of a 28-day cycle (cycle 2 and beyond)- to be 
started 7-14 days after the last TACE procedure.
Nivolumab: 3mg/kg IV on day 1 of a 21-day cycle x 1 dose
Ipilimumab: 1mg/kg on day 1 of a 21-day cycle x 1 dose 
TACE: Within 3-4 weeks of cycle 1 day 1; may be done up to 3 times (9-12
weeks total), the intervals between each TACE treatment can vary based 
on investigator’s discretio</t>
        </r>
      </text>
    </comment>
    <comment ref="E4" authorId="0" shapeId="0" xr:uid="{D5DFCEA7-7642-4988-ACFA-0ADACF396B83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QD orally on days 1-21 of cycles</t>
        </r>
      </text>
    </comment>
    <comment ref="E5" authorId="0" shapeId="0" xr:uid="{9BBE2F82-2655-41E0-AC55-0EEFF64B30BE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D1,D8,&amp; D15 every cycle (28 days)</t>
        </r>
      </text>
    </comment>
    <comment ref="G8" authorId="0" shapeId="0" xr:uid="{A3CAECED-F45C-4F13-9F26-485DC8F16552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"as clinically indicated"</t>
        </r>
      </text>
    </comment>
    <comment ref="G9" authorId="0" shapeId="0" xr:uid="{E1CFDAA6-8F67-4852-8536-FE267EC7A12D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"as clinically indicated"</t>
        </r>
      </text>
    </comment>
    <comment ref="G10" authorId="0" shapeId="0" xr:uid="{3A9B77DA-6E15-400A-B60E-06BF039BD564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"as clinically indicated"</t>
        </r>
      </text>
    </comment>
    <comment ref="D11" authorId="0" shapeId="0" xr:uid="{21DA7024-0E5E-441B-A784-D99899028968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Trial Phase N/A</t>
        </r>
      </text>
    </comment>
    <comment ref="G11" authorId="0" shapeId="0" xr:uid="{69688859-73C3-412A-A262-D8797F131BBC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Could not find in Protocol please confirm</t>
        </r>
      </text>
    </comment>
    <comment ref="E12" authorId="0" shapeId="0" xr:uid="{5E496A67-798B-4FD5-A499-AF8EBA39E7E0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Dependent on other criteria. Site visits Q2</t>
        </r>
      </text>
    </comment>
    <comment ref="E14" authorId="0" shapeId="0" xr:uid="{76D8773C-1648-47F5-AE78-EE9D2EDE47C0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Please confirm. Tare #2 can be day 7 cycle 3 or 4. (repeat week 9 or 13 as needed) </t>
        </r>
      </text>
    </comment>
    <comment ref="G15" authorId="0" shapeId="0" xr:uid="{DF7E1AF1-66F5-4943-A249-54502BEFEB75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@ screening</t>
        </r>
      </text>
    </comment>
    <comment ref="G24" authorId="0" shapeId="0" xr:uid="{02B00B98-741F-4528-AE1C-19A4EFF91923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Just @ screening</t>
        </r>
      </text>
    </comment>
    <comment ref="H24" authorId="0" shapeId="0" xr:uid="{47BACB7F-6935-49F8-9883-A5C0DC1B9A44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QOL assesment not sure if considered </t>
        </r>
      </text>
    </comment>
    <comment ref="D26" authorId="0" shapeId="0" xr:uid="{67FC007F-30C1-4158-B0FB-36BEC739A63A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"N/A"</t>
        </r>
      </text>
    </comment>
    <comment ref="E26" authorId="0" shapeId="0" xr:uid="{12DC1482-7A28-420C-9D68-F97211A0E758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Protocol not in Velos, please update</t>
        </r>
      </text>
    </comment>
    <comment ref="G30" authorId="0" shapeId="0" xr:uid="{84C63C57-DAFC-4052-A0B0-BBA7B2B0088C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"as clinically indicated"</t>
        </r>
      </text>
    </comment>
    <comment ref="G31" authorId="0" shapeId="0" xr:uid="{0880EFE9-588F-47AA-9E6F-FAD9C545AED0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"as clinically indicated"</t>
        </r>
      </text>
    </comment>
    <comment ref="G32" authorId="0" shapeId="0" xr:uid="{F78AA0A4-9C70-4C55-9CE7-C851AEB7F6B2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Just at Screening</t>
        </r>
      </text>
    </comment>
    <comment ref="G35" authorId="0" shapeId="0" xr:uid="{0DF1BC9F-3F86-4CA9-B012-C86986E9D4C7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"if clincally indicated"</t>
        </r>
      </text>
    </comment>
    <comment ref="G36" authorId="0" shapeId="0" xr:uid="{3A5CA286-4017-459B-9409-4220ABECFCAB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@ Screening </t>
        </r>
      </text>
    </comment>
    <comment ref="D38" authorId="0" shapeId="0" xr:uid="{8B52DF53-F50A-47E6-BD9C-5E5C9324AE06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Phase 1/2</t>
        </r>
      </text>
    </comment>
    <comment ref="D42" authorId="0" shapeId="0" xr:uid="{902F65EF-8D54-4672-9BC1-F7A8686EB7FB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Stated "N/A"</t>
        </r>
      </text>
    </comment>
    <comment ref="E44" authorId="0" shapeId="0" xr:uid="{4D7D0A83-B78A-4366-9033-1E35343853F7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Please review for best assesment. </t>
        </r>
      </text>
    </comment>
    <comment ref="H45" authorId="0" shapeId="0" xr:uid="{4155425D-9DF3-43C2-9A62-543EEE0B3930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only for those in cohart 2</t>
        </r>
      </text>
    </comment>
    <comment ref="I48" authorId="0" shapeId="0" xr:uid="{20196EE7-AD98-4F21-A9B4-994BB24F0455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Notes"f done weekly in the context of primary 
anti-cancer treatment, values are requested."</t>
        </r>
      </text>
    </comment>
    <comment ref="E49" authorId="0" shapeId="0" xr:uid="{2D4F5E13-6D75-4EC4-9D00-EE246F27AD1B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Please confirm </t>
        </r>
      </text>
    </comment>
    <comment ref="E50" authorId="0" shapeId="0" xr:uid="{D71D4FAD-4B17-4749-908D-32C9D1225898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Please Review SOA </t>
        </r>
      </text>
    </comment>
    <comment ref="D51" authorId="0" shapeId="0" xr:uid="{B8899670-96CE-4D39-B79A-3EFBB55D0F74}">
      <text>
        <r>
          <rPr>
            <b/>
            <sz val="9"/>
            <color indexed="81"/>
            <rFont val="Tahoma"/>
            <family val="2"/>
          </rPr>
          <t>Laurentzius, Crystal:</t>
        </r>
        <r>
          <rPr>
            <sz val="9"/>
            <color indexed="81"/>
            <rFont val="Tahoma"/>
            <family val="2"/>
          </rPr>
          <t xml:space="preserve">
Phase 1/2</t>
        </r>
      </text>
    </comment>
  </commentList>
</comments>
</file>

<file path=xl/sharedStrings.xml><?xml version="1.0" encoding="utf-8"?>
<sst xmlns="http://schemas.openxmlformats.org/spreadsheetml/2006/main" count="581" uniqueCount="132">
  <si>
    <t>IRB</t>
  </si>
  <si>
    <t>Protocol ID</t>
  </si>
  <si>
    <t>PI</t>
  </si>
  <si>
    <t>Trial Phase</t>
  </si>
  <si>
    <t>options:</t>
  </si>
  <si>
    <t>open</t>
  </si>
  <si>
    <t>numerical</t>
  </si>
  <si>
    <t>Treatment schedule</t>
  </si>
  <si>
    <t>ECGs?</t>
  </si>
  <si>
    <t>Questionnaires?</t>
  </si>
  <si>
    <t>Point multiplier</t>
  </si>
  <si>
    <t>DATA</t>
  </si>
  <si>
    <t>Central labs?</t>
  </si>
  <si>
    <t>Imaging upload/collection frequency in weeks</t>
  </si>
  <si>
    <t>New Study Criteria Form</t>
  </si>
  <si>
    <t>IRB:</t>
  </si>
  <si>
    <t>Protocol ID:</t>
  </si>
  <si>
    <t>PI:</t>
  </si>
  <si>
    <t>Trial Phase:</t>
  </si>
  <si>
    <t>Treatment schedule:</t>
  </si>
  <si>
    <t>Imaging upload/collection frequency in weeks:</t>
  </si>
  <si>
    <t>Central Labs?</t>
  </si>
  <si>
    <t>Images do not need to be uploaded</t>
  </si>
  <si>
    <t>0-6</t>
  </si>
  <si>
    <t>DATA: Study List</t>
  </si>
  <si>
    <t>QW</t>
  </si>
  <si>
    <t>7-12</t>
  </si>
  <si>
    <t>13+</t>
  </si>
  <si>
    <t>Yes</t>
  </si>
  <si>
    <t>Study Multiplier</t>
  </si>
  <si>
    <t>Q5W+</t>
  </si>
  <si>
    <t>Q4W</t>
  </si>
  <si>
    <t>Q3W</t>
  </si>
  <si>
    <t>Q2W</t>
  </si>
  <si>
    <t>Once</t>
  </si>
  <si>
    <t>No</t>
  </si>
  <si>
    <t>DATA CRC Workload Manager</t>
  </si>
  <si>
    <t>Total Number of Studies</t>
  </si>
  <si>
    <t>Workload Metric</t>
  </si>
  <si>
    <t>Total Number of Patients</t>
  </si>
  <si>
    <t>CRC:</t>
  </si>
  <si>
    <t>Workload</t>
  </si>
  <si>
    <t>Total Workload Metric</t>
  </si>
  <si>
    <t>Number of Patients</t>
  </si>
  <si>
    <t>N/A</t>
  </si>
  <si>
    <t>Employee_1</t>
  </si>
  <si>
    <t>Employee_2</t>
  </si>
  <si>
    <t>Employee_3</t>
  </si>
  <si>
    <t>Employee_4</t>
  </si>
  <si>
    <t>PI_1</t>
  </si>
  <si>
    <t>PI_2</t>
  </si>
  <si>
    <t>PI_3</t>
  </si>
  <si>
    <t>PI_4</t>
  </si>
  <si>
    <t>PI_5</t>
  </si>
  <si>
    <t>PI_6</t>
  </si>
  <si>
    <t>PI_7</t>
  </si>
  <si>
    <t>PI_8</t>
  </si>
  <si>
    <t>PI_9</t>
  </si>
  <si>
    <t>PI_10</t>
  </si>
  <si>
    <t>PI_11</t>
  </si>
  <si>
    <t>PI_12</t>
  </si>
  <si>
    <t>PI_13</t>
  </si>
  <si>
    <t>PI_14</t>
  </si>
  <si>
    <t>Trial_1</t>
  </si>
  <si>
    <t>Trial_2</t>
  </si>
  <si>
    <t>Trial_3</t>
  </si>
  <si>
    <t>Trial_4</t>
  </si>
  <si>
    <t>Trial_5</t>
  </si>
  <si>
    <t>Trial_6</t>
  </si>
  <si>
    <t>Trial_7</t>
  </si>
  <si>
    <t>Trial_8</t>
  </si>
  <si>
    <t>Trial_9</t>
  </si>
  <si>
    <t>Trial_10</t>
  </si>
  <si>
    <t>Trial_11</t>
  </si>
  <si>
    <t>Trial_12</t>
  </si>
  <si>
    <t>Trial_13</t>
  </si>
  <si>
    <t>Trial_14</t>
  </si>
  <si>
    <t>Trial_15</t>
  </si>
  <si>
    <t>Trial_16</t>
  </si>
  <si>
    <t>Trial_17</t>
  </si>
  <si>
    <t>Trial_18</t>
  </si>
  <si>
    <t>Trial_19</t>
  </si>
  <si>
    <t>Trial_20</t>
  </si>
  <si>
    <t>Trial_21</t>
  </si>
  <si>
    <t>Trial_22</t>
  </si>
  <si>
    <t>Trial_23</t>
  </si>
  <si>
    <t>Trial_24</t>
  </si>
  <si>
    <t>Trial_25</t>
  </si>
  <si>
    <t>Trial_26</t>
  </si>
  <si>
    <t>Trial_27</t>
  </si>
  <si>
    <t>Trial_28</t>
  </si>
  <si>
    <t>Trial_29</t>
  </si>
  <si>
    <t>Trial_30</t>
  </si>
  <si>
    <t>Trial_31</t>
  </si>
  <si>
    <t>Trial_32</t>
  </si>
  <si>
    <t>Trial_33</t>
  </si>
  <si>
    <t>Trial_34</t>
  </si>
  <si>
    <t>Trial_35</t>
  </si>
  <si>
    <t>Trial_36</t>
  </si>
  <si>
    <t>Trial_37</t>
  </si>
  <si>
    <t>Trial_38</t>
  </si>
  <si>
    <t>Trial_39</t>
  </si>
  <si>
    <t>Trial_40</t>
  </si>
  <si>
    <t>Trial_41</t>
  </si>
  <si>
    <t>Trial_42</t>
  </si>
  <si>
    <t>Trial_43</t>
  </si>
  <si>
    <t>Trial_44</t>
  </si>
  <si>
    <t>Trial_45</t>
  </si>
  <si>
    <t>Trial_46</t>
  </si>
  <si>
    <t>Trial_47</t>
  </si>
  <si>
    <t>Trial_48</t>
  </si>
  <si>
    <t>Trial_49</t>
  </si>
  <si>
    <t>Trial_50</t>
  </si>
  <si>
    <t>Trial_51</t>
  </si>
  <si>
    <t>Trial_52</t>
  </si>
  <si>
    <t>Trial_53</t>
  </si>
  <si>
    <t>Trial_54</t>
  </si>
  <si>
    <t>Trial_55</t>
  </si>
  <si>
    <t>Trial_56</t>
  </si>
  <si>
    <t>Trial_57</t>
  </si>
  <si>
    <t>Trial_58</t>
  </si>
  <si>
    <t>Trial_59</t>
  </si>
  <si>
    <t>Trial_60</t>
  </si>
  <si>
    <t>Trial_61</t>
  </si>
  <si>
    <t>Trial_62</t>
  </si>
  <si>
    <t>Disease Team:</t>
  </si>
  <si>
    <t>Instructions:
- Only CRC name, disease team, IRB, and number of patient fields are editable. Tailor these fields to each CRC.
- Data for workload metrics are sourced from the "Data Study List" tab. If you are not seeing a workload metric, please ensure IRB number is entered correctly and also already added to the "Data Study List" tab.</t>
  </si>
  <si>
    <t>Team 1</t>
  </si>
  <si>
    <t>Team 2, Team 3</t>
  </si>
  <si>
    <t>Team 4</t>
  </si>
  <si>
    <t>dfad</t>
  </si>
  <si>
    <t>dafdsf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</si>
</sst>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u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8"/>
      <name val="Calibri"/>
      <family val="2"/>
      <scheme val="minor"/>
    </font>
    <font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49" fontId="0" fillId="0" borderId="0" xfId="0" applyNumberFormat="1"/>
    <xf numFmtId="0" fontId="0" fillId="0" borderId="1" xfId="0" applyBorder="1"/>
    <xf numFmtId="49" fontId="0" fillId="0" borderId="1" xfId="0" applyNumberFormat="1" applyBorder="1"/>
    <xf numFmtId="0" fontId="0" fillId="0" borderId="0" xfId="0" applyAlignment="1">
      <alignment horizontal="left"/>
    </xf>
    <xf numFmtId="0" fontId="5" fillId="7" borderId="6" xfId="0" applyFont="1" applyFill="1" applyBorder="1"/>
    <xf numFmtId="0" fontId="6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 wrapText="1"/>
    </xf>
    <xf numFmtId="0" fontId="2" fillId="7" borderId="0" xfId="0" applyFont="1" applyFill="1" applyAlignment="1">
      <alignment horizontal="center" vertical="top"/>
    </xf>
    <xf numFmtId="0" fontId="0" fillId="7" borderId="7" xfId="0" applyFill="1" applyBorder="1"/>
    <xf numFmtId="0" fontId="0" fillId="0" borderId="0" xfId="0" applyAlignment="1">
      <alignment horizontal="center" vertical="top" wrapText="1"/>
    </xf>
    <xf numFmtId="0" fontId="0" fillId="3" borderId="1" xfId="0" applyFill="1" applyBorder="1" applyAlignment="1">
      <alignment horizontal="center" vertical="top" wrapText="1"/>
    </xf>
    <xf numFmtId="0" fontId="0" fillId="0" borderId="0" xfId="0" applyAlignment="1">
      <alignment horizontal="center" vertical="center" wrapText="1"/>
    </xf>
    <xf numFmtId="0" fontId="0" fillId="3" borderId="2" xfId="0" applyFill="1" applyBorder="1" applyAlignment="1">
      <alignment horizontal="center" vertical="top" wrapText="1"/>
    </xf>
    <xf numFmtId="0" fontId="0" fillId="0" borderId="11" xfId="0" applyBorder="1" applyAlignment="1">
      <alignment horizontal="center" vertical="center" wrapText="1"/>
    </xf>
    <xf numFmtId="0" fontId="4" fillId="0" borderId="0" xfId="0" applyFont="1" applyAlignment="1">
      <alignment horizontal="center" vertical="top"/>
    </xf>
    <xf numFmtId="0" fontId="5" fillId="9" borderId="1" xfId="0" applyFont="1" applyFill="1" applyBorder="1" applyAlignment="1">
      <alignment horizontal="center" vertical="top" wrapText="1"/>
    </xf>
    <xf numFmtId="49" fontId="0" fillId="2" borderId="1" xfId="0" applyNumberFormat="1" applyFill="1" applyBorder="1" applyAlignment="1">
      <alignment wrapText="1"/>
    </xf>
    <xf numFmtId="49" fontId="0" fillId="0" borderId="1" xfId="0" applyNumberFormat="1" applyBorder="1" applyAlignment="1">
      <alignment wrapText="1"/>
    </xf>
    <xf numFmtId="0" fontId="0" fillId="0" borderId="11" xfId="0" applyBorder="1" applyAlignment="1">
      <alignment horizontal="center" vertical="top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left"/>
    </xf>
    <xf numFmtId="0" fontId="8" fillId="6" borderId="1" xfId="0" applyFont="1" applyFill="1" applyBorder="1" applyAlignment="1" applyProtection="1">
      <alignment horizontal="left" vertical="center" wrapText="1"/>
      <protection locked="0"/>
    </xf>
    <xf numFmtId="49" fontId="8" fillId="6" borderId="1" xfId="0" applyNumberFormat="1" applyFont="1" applyFill="1" applyBorder="1" applyAlignment="1" applyProtection="1">
      <alignment horizontal="left" vertical="center" wrapText="1"/>
      <protection locked="0"/>
    </xf>
    <xf numFmtId="0" fontId="8" fillId="10" borderId="15" xfId="0" applyFont="1" applyFill="1" applyBorder="1" applyAlignment="1">
      <alignment horizontal="center" vertical="center" wrapText="1"/>
    </xf>
    <xf numFmtId="0" fontId="8" fillId="10" borderId="1" xfId="0" applyFont="1" applyFill="1" applyBorder="1" applyAlignment="1">
      <alignment horizontal="center" vertical="center" wrapText="1"/>
    </xf>
    <xf numFmtId="0" fontId="8" fillId="10" borderId="16" xfId="0" applyFont="1" applyFill="1" applyBorder="1" applyAlignment="1">
      <alignment horizontal="center" vertical="center" wrapText="1"/>
    </xf>
    <xf numFmtId="0" fontId="9" fillId="11" borderId="15" xfId="0" applyFont="1" applyFill="1" applyBorder="1" applyAlignment="1">
      <alignment horizontal="center" vertical="center" wrapText="1"/>
    </xf>
    <xf numFmtId="0" fontId="11" fillId="3" borderId="15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16" xfId="0" applyFont="1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 wrapText="1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7" borderId="1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 applyProtection="1">
      <alignment horizontal="center" vertical="top" wrapText="1"/>
      <protection locked="0"/>
    </xf>
    <xf numFmtId="49" fontId="0" fillId="6" borderId="0" xfId="0" applyNumberFormat="1" applyFill="1" applyAlignment="1">
      <alignment vertical="top" wrapText="1"/>
    </xf>
    <xf numFmtId="0" fontId="0" fillId="7" borderId="24" xfId="0" applyFill="1" applyBorder="1" applyAlignment="1">
      <alignment horizontal="center" vertical="center" wrapText="1"/>
    </xf>
    <xf numFmtId="49" fontId="0" fillId="2" borderId="1" xfId="0" applyNumberFormat="1" applyFill="1" applyBorder="1"/>
    <xf numFmtId="0" fontId="3" fillId="8" borderId="25" xfId="0" applyFont="1" applyFill="1" applyBorder="1" applyAlignment="1">
      <alignment horizontal="center" vertical="top" wrapText="1"/>
    </xf>
    <xf numFmtId="0" fontId="3" fillId="8" borderId="19" xfId="0" applyFont="1" applyFill="1" applyBorder="1" applyAlignment="1">
      <alignment horizontal="center" vertical="top" wrapText="1"/>
    </xf>
    <xf numFmtId="0" fontId="3" fillId="8" borderId="26" xfId="0" applyFont="1" applyFill="1" applyBorder="1" applyAlignment="1">
      <alignment horizontal="center" vertical="top" wrapText="1"/>
    </xf>
    <xf numFmtId="0" fontId="1" fillId="5" borderId="3" xfId="0" applyFont="1" applyFill="1" applyBorder="1" applyAlignment="1">
      <alignment horizontal="center" vertical="top"/>
    </xf>
    <xf numFmtId="0" fontId="1" fillId="5" borderId="4" xfId="0" applyFont="1" applyFill="1" applyBorder="1" applyAlignment="1">
      <alignment horizontal="center" vertical="top"/>
    </xf>
    <xf numFmtId="0" fontId="1" fillId="5" borderId="5" xfId="0" applyFont="1" applyFill="1" applyBorder="1" applyAlignment="1">
      <alignment horizontal="center" vertical="top"/>
    </xf>
    <xf numFmtId="0" fontId="1" fillId="5" borderId="8" xfId="0" applyFont="1" applyFill="1" applyBorder="1" applyAlignment="1">
      <alignment horizontal="center" vertical="top"/>
    </xf>
    <xf numFmtId="0" fontId="1" fillId="5" borderId="9" xfId="0" applyFont="1" applyFill="1" applyBorder="1" applyAlignment="1">
      <alignment horizontal="center" vertical="top"/>
    </xf>
    <xf numFmtId="0" fontId="1" fillId="5" borderId="10" xfId="0" applyFont="1" applyFill="1" applyBorder="1" applyAlignment="1">
      <alignment horizontal="center" vertical="top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4" fillId="0" borderId="0" xfId="0" applyFont="1"/>
    <xf numFmtId="49" fontId="16" fillId="7" borderId="20" xfId="0" applyNumberFormat="1" applyFont="1" applyFill="1" applyBorder="1" applyAlignment="1">
      <alignment horizontal="left" vertical="top" wrapText="1"/>
    </xf>
    <xf numFmtId="49" fontId="16" fillId="7" borderId="21" xfId="0" applyNumberFormat="1" applyFont="1" applyFill="1" applyBorder="1" applyAlignment="1">
      <alignment horizontal="left" vertical="top" wrapText="1"/>
    </xf>
    <xf numFmtId="49" fontId="16" fillId="7" borderId="22" xfId="0" applyNumberFormat="1" applyFont="1" applyFill="1" applyBorder="1" applyAlignment="1">
      <alignment horizontal="left" vertical="top" wrapText="1"/>
    </xf>
    <xf numFmtId="0" fontId="9" fillId="6" borderId="23" xfId="0" applyFont="1" applyFill="1" applyBorder="1" applyAlignment="1" applyProtection="1">
      <alignment horizontal="center" vertical="center" wrapText="1"/>
      <protection locked="0"/>
    </xf>
    <xf numFmtId="0" fontId="9" fillId="6" borderId="16" xfId="0" applyFont="1" applyFill="1" applyBorder="1" applyAlignment="1" applyProtection="1">
      <alignment horizontal="center" vertical="center" wrapText="1"/>
      <protection locked="0"/>
    </xf>
    <xf numFmtId="0" fontId="10" fillId="2" borderId="12" xfId="0" applyFont="1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 applyProtection="1">
      <alignment horizontal="center" vertical="center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7" borderId="7" xfId="0" applyFill="1" applyBorder="1" applyAlignment="1">
      <alignment horizontal="center" vertical="center" wrapText="1"/>
    </xf>
  </cellXfs>
  <cellStyles count="1">
    <cellStyle name="Normal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8500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1485900</xdr:colOff>
          <xdr:row>22</xdr:row>
          <xdr:rowOff>95250</xdr:rowOff>
        </xdr:from>
        <xdr:to>
          <xdr:col>3</xdr:col>
          <xdr:colOff>533400</xdr:colOff>
          <xdr:row>22</xdr:row>
          <xdr:rowOff>514350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34C9E-694B-4BCD-A329-52BCC42903DB}">
  <sheetPr codeName="Sheet2">
    <tabColor theme="1" tint="0.249977111117893"/>
  </sheetPr>
  <dimension ref="A1:J2"/>
  <sheetViews>
    <sheetView workbookViewId="0">
      <selection activeCell="M45" sqref="M45"/>
    </sheetView>
  </sheetViews>
  <sheetFormatPr defaultRowHeight="15" x14ac:dyDescent="0.25"/>
  <cols>
    <col min="1" max="1" width="13.28515625" customWidth="1"/>
    <col min="2" max="2" width="24.140625" customWidth="1"/>
    <col min="3" max="3" width="20.5703125" customWidth="1"/>
    <col min="4" max="4" width="8.85546875" customWidth="1"/>
    <col min="5" max="5" width="12.140625" customWidth="1"/>
    <col min="6" max="6" width="27.140625" customWidth="1"/>
    <col min="7" max="7" width="8" customWidth="1"/>
    <col min="8" max="8" width="15.7109375" bestFit="1" customWidth="1"/>
    <col min="9" max="9" width="12.7109375" bestFit="1" customWidth="1"/>
    <col min="10" max="10" width="24.5703125" customWidth="1"/>
  </cols>
  <sheetData>
    <row r="1" spans="1:10" ht="30" x14ac:dyDescent="0.25">
      <c r="A1" s="11" t="s">
        <v>15</v>
      </c>
      <c r="B1" s="11" t="s">
        <v>16</v>
      </c>
      <c r="C1" s="11" t="s">
        <v>17</v>
      </c>
      <c r="D1" s="11" t="s">
        <v>18</v>
      </c>
      <c r="E1" s="11" t="s">
        <v>19</v>
      </c>
      <c r="F1" s="11" t="s">
        <v>20</v>
      </c>
      <c r="G1" s="11" t="s">
        <v>8</v>
      </c>
      <c r="H1" s="11" t="s">
        <v>9</v>
      </c>
      <c r="I1" s="11" t="s">
        <v>21</v>
      </c>
      <c r="J1" s="16" t="s">
        <v>29</v>
      </c>
    </row>
    <row r="2" spans="1:10" x14ac:dyDescent="0.25">
      <c r="A2" t="s">
        <v>130</v>
      </c>
      <c r="B2" t="s">
        <v>131</v>
      </c>
      <c r="C2">
        <v>1</v>
      </c>
      <c r="D2" t="s">
        <v>33</v>
      </c>
      <c r="E2" t="s">
        <v>23</v>
      </c>
      <c r="F2" t="s">
        <v>35</v>
      </c>
      <c r="G2" t="s">
        <v>35</v>
      </c>
      <c r="H2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650F7-985C-40F2-B7F4-0CEC2E6FC078}">
  <sheetPr codeName="Sheet5">
    <tabColor theme="0" tint="-0.499984740745262"/>
  </sheetPr>
  <dimension ref="A1:C24"/>
  <sheetViews>
    <sheetView zoomScale="120" zoomScaleNormal="120" workbookViewId="0">
      <selection activeCell="R31" sqref="R31"/>
    </sheetView>
  </sheetViews>
  <sheetFormatPr defaultColWidth="9.140625" defaultRowHeight="15" x14ac:dyDescent="0.25"/>
  <cols>
    <col min="1" max="1" width="19.28515625" style="1" customWidth="1"/>
    <col min="2" max="2" width="22" style="1" customWidth="1"/>
    <col min="3" max="3" width="15.28515625" style="1" customWidth="1"/>
    <col min="4" max="16384" width="9.140625" style="1"/>
  </cols>
  <sheetData>
    <row r="1" spans="1:3" x14ac:dyDescent="0.25">
      <c r="A1" s="17" t="s">
        <v>11</v>
      </c>
      <c r="B1" s="17" t="s">
        <v>4</v>
      </c>
      <c r="C1" s="46" t="s">
        <v>10</v>
      </c>
    </row>
    <row r="2" spans="1:3" x14ac:dyDescent="0.25">
      <c r="A2" s="18" t="s">
        <v>0</v>
      </c>
      <c r="B2" s="18" t="s">
        <v>6</v>
      </c>
      <c r="C2" s="2">
        <v>1</v>
      </c>
    </row>
    <row r="3" spans="1:3" x14ac:dyDescent="0.25">
      <c r="A3" s="18" t="s">
        <v>1</v>
      </c>
      <c r="B3" s="18" t="s">
        <v>5</v>
      </c>
      <c r="C3" s="2">
        <v>1</v>
      </c>
    </row>
    <row r="4" spans="1:3" x14ac:dyDescent="0.25">
      <c r="A4" s="18" t="s">
        <v>2</v>
      </c>
      <c r="B4" s="18" t="s">
        <v>5</v>
      </c>
      <c r="C4" s="2">
        <v>1</v>
      </c>
    </row>
    <row r="5" spans="1:3" x14ac:dyDescent="0.25">
      <c r="A5" s="18" t="s">
        <v>3</v>
      </c>
      <c r="B5" s="18">
        <v>1</v>
      </c>
      <c r="C5" s="2">
        <v>2</v>
      </c>
    </row>
    <row r="6" spans="1:3" x14ac:dyDescent="0.25">
      <c r="A6" s="18" t="s">
        <v>3</v>
      </c>
      <c r="B6" s="18">
        <v>2</v>
      </c>
      <c r="C6" s="2">
        <v>1.5</v>
      </c>
    </row>
    <row r="7" spans="1:3" x14ac:dyDescent="0.25">
      <c r="A7" s="18" t="s">
        <v>3</v>
      </c>
      <c r="B7" s="18">
        <v>3</v>
      </c>
      <c r="C7" s="2">
        <v>1</v>
      </c>
    </row>
    <row r="8" spans="1:3" x14ac:dyDescent="0.25">
      <c r="A8" s="18" t="s">
        <v>3</v>
      </c>
      <c r="B8" s="18" t="s">
        <v>44</v>
      </c>
      <c r="C8" s="2">
        <v>1</v>
      </c>
    </row>
    <row r="9" spans="1:3" x14ac:dyDescent="0.25">
      <c r="A9" s="18" t="s">
        <v>7</v>
      </c>
      <c r="B9" s="18" t="s">
        <v>34</v>
      </c>
      <c r="C9" s="2">
        <v>0.5</v>
      </c>
    </row>
    <row r="10" spans="1:3" x14ac:dyDescent="0.25">
      <c r="A10" s="18" t="s">
        <v>7</v>
      </c>
      <c r="B10" s="18" t="s">
        <v>25</v>
      </c>
      <c r="C10" s="2">
        <v>4</v>
      </c>
    </row>
    <row r="11" spans="1:3" x14ac:dyDescent="0.25">
      <c r="A11" s="18" t="s">
        <v>7</v>
      </c>
      <c r="B11" s="18" t="s">
        <v>33</v>
      </c>
      <c r="C11" s="2">
        <v>2</v>
      </c>
    </row>
    <row r="12" spans="1:3" x14ac:dyDescent="0.25">
      <c r="A12" s="18" t="s">
        <v>7</v>
      </c>
      <c r="B12" s="18" t="s">
        <v>32</v>
      </c>
      <c r="C12" s="2">
        <v>1.3</v>
      </c>
    </row>
    <row r="13" spans="1:3" x14ac:dyDescent="0.25">
      <c r="A13" s="18" t="s">
        <v>7</v>
      </c>
      <c r="B13" s="18" t="s">
        <v>31</v>
      </c>
      <c r="C13" s="2">
        <v>1</v>
      </c>
    </row>
    <row r="14" spans="1:3" x14ac:dyDescent="0.25">
      <c r="A14" s="18" t="s">
        <v>7</v>
      </c>
      <c r="B14" s="18" t="s">
        <v>30</v>
      </c>
      <c r="C14" s="2">
        <v>0.8</v>
      </c>
    </row>
    <row r="15" spans="1:3" ht="45" x14ac:dyDescent="0.25">
      <c r="A15" s="18" t="s">
        <v>13</v>
      </c>
      <c r="B15" s="18" t="s">
        <v>22</v>
      </c>
      <c r="C15" s="2">
        <v>0.7</v>
      </c>
    </row>
    <row r="16" spans="1:3" ht="45" x14ac:dyDescent="0.25">
      <c r="A16" s="18" t="s">
        <v>13</v>
      </c>
      <c r="B16" s="18" t="s">
        <v>23</v>
      </c>
      <c r="C16" s="2">
        <v>1.3</v>
      </c>
    </row>
    <row r="17" spans="1:3" ht="45" x14ac:dyDescent="0.25">
      <c r="A17" s="18" t="s">
        <v>13</v>
      </c>
      <c r="B17" s="18" t="s">
        <v>26</v>
      </c>
      <c r="C17" s="2">
        <v>1.1000000000000001</v>
      </c>
    </row>
    <row r="18" spans="1:3" ht="45" x14ac:dyDescent="0.25">
      <c r="A18" s="18" t="s">
        <v>13</v>
      </c>
      <c r="B18" s="18" t="s">
        <v>27</v>
      </c>
      <c r="C18" s="2">
        <v>1</v>
      </c>
    </row>
    <row r="19" spans="1:3" x14ac:dyDescent="0.25">
      <c r="A19" s="18" t="s">
        <v>8</v>
      </c>
      <c r="B19" s="18" t="s">
        <v>28</v>
      </c>
      <c r="C19" s="2">
        <v>1.2</v>
      </c>
    </row>
    <row r="20" spans="1:3" x14ac:dyDescent="0.25">
      <c r="A20" s="18" t="s">
        <v>8</v>
      </c>
      <c r="B20" s="18" t="s">
        <v>35</v>
      </c>
      <c r="C20" s="2">
        <v>1</v>
      </c>
    </row>
    <row r="21" spans="1:3" x14ac:dyDescent="0.25">
      <c r="A21" s="18" t="s">
        <v>9</v>
      </c>
      <c r="B21" s="18" t="s">
        <v>28</v>
      </c>
      <c r="C21" s="2">
        <v>1.1000000000000001</v>
      </c>
    </row>
    <row r="22" spans="1:3" x14ac:dyDescent="0.25">
      <c r="A22" s="18" t="s">
        <v>9</v>
      </c>
      <c r="B22" s="18" t="s">
        <v>35</v>
      </c>
      <c r="C22" s="2">
        <v>1</v>
      </c>
    </row>
    <row r="23" spans="1:3" x14ac:dyDescent="0.25">
      <c r="A23" s="18" t="s">
        <v>12</v>
      </c>
      <c r="B23" s="18" t="s">
        <v>28</v>
      </c>
      <c r="C23" s="2">
        <v>1</v>
      </c>
    </row>
    <row r="24" spans="1:3" x14ac:dyDescent="0.25">
      <c r="A24" s="18" t="s">
        <v>12</v>
      </c>
      <c r="B24" s="3" t="s">
        <v>35</v>
      </c>
      <c r="C24" s="2">
        <v>1</v>
      </c>
    </row>
  </sheetData>
  <sheetProtection algorithmName="SHA-512" hashValue="9+j2ejriz28hGa9w7z5tS/LjJA9LvQIoNU2pRd15eCy347YgBtmt5U2TTX/Ix0hJTYmTchl80ZiF3uBPm5zQ6g==" saltValue="QaafAoh9tnmssrVByRC/D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C94CB-9A8E-4041-925B-2A225C6466CE}">
  <sheetPr codeName="Sheet4">
    <tabColor theme="7"/>
  </sheetPr>
  <dimension ref="A1:J64"/>
  <sheetViews>
    <sheetView zoomScale="110" zoomScaleNormal="110" workbookViewId="0">
      <selection activeCell="P32" sqref="P32"/>
    </sheetView>
  </sheetViews>
  <sheetFormatPr defaultColWidth="9.140625" defaultRowHeight="15" x14ac:dyDescent="0.25"/>
  <cols>
    <col min="1" max="1" width="13.28515625" style="10" customWidth="1"/>
    <col min="2" max="2" width="24.140625" style="10" customWidth="1"/>
    <col min="3" max="3" width="30.7109375" style="10" customWidth="1"/>
    <col min="4" max="4" width="8.85546875" style="10" customWidth="1"/>
    <col min="5" max="5" width="12.140625" style="10" customWidth="1"/>
    <col min="6" max="6" width="27.140625" style="10" customWidth="1"/>
    <col min="7" max="7" width="8" style="10" customWidth="1"/>
    <col min="8" max="8" width="15.7109375" style="10" bestFit="1" customWidth="1"/>
    <col min="9" max="9" width="12.7109375" style="10" bestFit="1" customWidth="1"/>
    <col min="10" max="10" width="24.5703125" style="10" customWidth="1"/>
    <col min="11" max="14" width="9.140625" style="10"/>
    <col min="15" max="15" width="34.85546875" style="10" customWidth="1"/>
    <col min="16" max="16" width="12.85546875" style="10" customWidth="1"/>
    <col min="17" max="16384" width="9.140625" style="10"/>
  </cols>
  <sheetData>
    <row r="1" spans="1:10" ht="24.75" customHeight="1" x14ac:dyDescent="0.25">
      <c r="A1" s="47" t="s">
        <v>24</v>
      </c>
      <c r="B1" s="48"/>
      <c r="C1" s="48"/>
      <c r="D1" s="48"/>
      <c r="E1" s="48"/>
      <c r="F1" s="48"/>
      <c r="G1" s="48"/>
      <c r="H1" s="48"/>
      <c r="I1" s="48"/>
      <c r="J1" s="49"/>
    </row>
    <row r="2" spans="1:10" ht="30" x14ac:dyDescent="0.25">
      <c r="A2" s="13" t="s">
        <v>15</v>
      </c>
      <c r="B2" s="13" t="s">
        <v>16</v>
      </c>
      <c r="C2" s="13" t="s">
        <v>17</v>
      </c>
      <c r="D2" s="13" t="s">
        <v>18</v>
      </c>
      <c r="E2" s="13" t="s">
        <v>19</v>
      </c>
      <c r="F2" s="13" t="s">
        <v>20</v>
      </c>
      <c r="G2" s="13" t="s">
        <v>8</v>
      </c>
      <c r="H2" s="13" t="s">
        <v>9</v>
      </c>
      <c r="I2" s="13" t="s">
        <v>21</v>
      </c>
      <c r="J2" s="16" t="s">
        <v>29</v>
      </c>
    </row>
    <row r="3" spans="1:10" x14ac:dyDescent="0.25">
      <c r="A3" s="21">
        <v>100001</v>
      </c>
      <c r="B3" s="41" t="s">
        <v>63</v>
      </c>
      <c r="C3" s="41" t="s">
        <v>49</v>
      </c>
      <c r="D3" s="41">
        <v>2</v>
      </c>
      <c r="E3" s="41" t="s">
        <v>31</v>
      </c>
      <c r="F3" s="41" t="s">
        <v>26</v>
      </c>
      <c r="G3" s="41" t="s">
        <v>28</v>
      </c>
      <c r="H3" s="41" t="s">
        <v>35</v>
      </c>
      <c r="I3" s="41" t="s">
        <v>28</v>
      </c>
      <c r="J3" s="19">
        <f>PRODUCT(VLOOKUP(D3,'DATA Multiplier Table'!$B$5:$C$8,2,FALSE),VLOOKUP(E3,'DATA Multiplier Table'!$B$9:$C$14,2,FALSE),VLOOKUP(F3,'DATA Multiplier Table'!$B$15:$C$18,2,FALSE),VLOOKUP(G3,'DATA Multiplier Table'!$B$19:$C$20,2,FALSE),VLOOKUP(H3,'DATA Multiplier Table'!$B$21:$C$22,2,FALSE),VLOOKUP(I3,'DATA Multiplier Table'!$B$23:$C$24,2,FALSE))</f>
        <v>1.98</v>
      </c>
    </row>
    <row r="4" spans="1:10" x14ac:dyDescent="0.25">
      <c r="A4" s="21">
        <v>100002</v>
      </c>
      <c r="B4" s="41" t="s">
        <v>64</v>
      </c>
      <c r="C4" s="42" t="s">
        <v>49</v>
      </c>
      <c r="D4" s="42">
        <v>2</v>
      </c>
      <c r="E4" s="42" t="s">
        <v>25</v>
      </c>
      <c r="F4" s="42" t="s">
        <v>23</v>
      </c>
      <c r="G4" s="42" t="s">
        <v>35</v>
      </c>
      <c r="H4" s="42" t="s">
        <v>28</v>
      </c>
      <c r="I4" s="42" t="s">
        <v>28</v>
      </c>
      <c r="J4" s="19">
        <f>PRODUCT(VLOOKUP(D4,'DATA Multiplier Table'!$B$5:$C$8,2,FALSE),VLOOKUP(E4,'DATA Multiplier Table'!$B$9:$C$14,2,FALSE),VLOOKUP(F4,'DATA Multiplier Table'!$B$15:$C$18,2,FALSE),VLOOKUP(G4,'DATA Multiplier Table'!$B$19:$C$20,2,FALSE),VLOOKUP(H4,'DATA Multiplier Table'!$B$21:$C$22,2,FALSE),VLOOKUP(I4,'DATA Multiplier Table'!$B$23:$C$24,2,FALSE))</f>
        <v>8.5800000000000018</v>
      </c>
    </row>
    <row r="5" spans="1:10" x14ac:dyDescent="0.25">
      <c r="A5" s="21">
        <v>100003</v>
      </c>
      <c r="B5" s="41" t="s">
        <v>65</v>
      </c>
      <c r="C5" s="42" t="s">
        <v>50</v>
      </c>
      <c r="D5" s="42">
        <v>2</v>
      </c>
      <c r="E5" s="42" t="s">
        <v>25</v>
      </c>
      <c r="F5" s="42" t="s">
        <v>26</v>
      </c>
      <c r="G5" s="42" t="s">
        <v>35</v>
      </c>
      <c r="H5" s="42" t="s">
        <v>28</v>
      </c>
      <c r="I5" s="42" t="s">
        <v>28</v>
      </c>
      <c r="J5" s="19">
        <f>PRODUCT(VLOOKUP(D5,'DATA Multiplier Table'!$B$5:$C$8,2,FALSE),VLOOKUP(E5,'DATA Multiplier Table'!$B$9:$C$14,2,FALSE),VLOOKUP(F5,'DATA Multiplier Table'!$B$15:$C$18,2,FALSE),VLOOKUP(G5,'DATA Multiplier Table'!$B$19:$C$20,2,FALSE),VLOOKUP(H5,'DATA Multiplier Table'!$B$21:$C$22,2,FALSE),VLOOKUP(I5,'DATA Multiplier Table'!$B$23:$C$24,2,FALSE))</f>
        <v>7.2600000000000016</v>
      </c>
    </row>
    <row r="6" spans="1:10" x14ac:dyDescent="0.25">
      <c r="A6" s="21">
        <v>100004</v>
      </c>
      <c r="B6" s="41" t="s">
        <v>66</v>
      </c>
      <c r="C6" s="42" t="s">
        <v>50</v>
      </c>
      <c r="D6" s="42">
        <v>3</v>
      </c>
      <c r="E6" s="42" t="s">
        <v>32</v>
      </c>
      <c r="F6" s="42" t="s">
        <v>26</v>
      </c>
      <c r="G6" s="42" t="s">
        <v>28</v>
      </c>
      <c r="H6" s="42" t="s">
        <v>28</v>
      </c>
      <c r="I6" s="42" t="s">
        <v>28</v>
      </c>
      <c r="J6" s="19">
        <f>PRODUCT(VLOOKUP(D6,'DATA Multiplier Table'!$B$5:$C$8,2,FALSE),VLOOKUP(E6,'DATA Multiplier Table'!$B$9:$C$14,2,FALSE),VLOOKUP(F6,'DATA Multiplier Table'!$B$15:$C$18,2,FALSE),VLOOKUP(G6,'DATA Multiplier Table'!$B$19:$C$20,2,FALSE),VLOOKUP(H6,'DATA Multiplier Table'!$B$21:$C$22,2,FALSE),VLOOKUP(I6,'DATA Multiplier Table'!$B$23:$C$24,2,FALSE))</f>
        <v>1.8876000000000004</v>
      </c>
    </row>
    <row r="7" spans="1:10" x14ac:dyDescent="0.25">
      <c r="A7" s="21">
        <v>100005</v>
      </c>
      <c r="B7" s="41" t="s">
        <v>67</v>
      </c>
      <c r="C7" s="42" t="s">
        <v>51</v>
      </c>
      <c r="D7" s="42">
        <v>2</v>
      </c>
      <c r="E7" s="42" t="s">
        <v>33</v>
      </c>
      <c r="F7" s="42" t="s">
        <v>27</v>
      </c>
      <c r="G7" s="42" t="s">
        <v>35</v>
      </c>
      <c r="H7" s="42" t="s">
        <v>35</v>
      </c>
      <c r="I7" s="42" t="s">
        <v>28</v>
      </c>
      <c r="J7" s="19">
        <f>PRODUCT(VLOOKUP(D7,'DATA Multiplier Table'!$B$5:$C$8,2,FALSE),VLOOKUP(E7,'DATA Multiplier Table'!$B$9:$C$14,2,FALSE),VLOOKUP(F7,'DATA Multiplier Table'!$B$15:$C$18,2,FALSE),VLOOKUP(G7,'DATA Multiplier Table'!$B$19:$C$20,2,FALSE),VLOOKUP(H7,'DATA Multiplier Table'!$B$21:$C$22,2,FALSE),VLOOKUP(I7,'DATA Multiplier Table'!$B$23:$C$24,2,FALSE))</f>
        <v>3</v>
      </c>
    </row>
    <row r="8" spans="1:10" x14ac:dyDescent="0.25">
      <c r="A8" s="21">
        <v>100006</v>
      </c>
      <c r="B8" s="41" t="s">
        <v>68</v>
      </c>
      <c r="C8" s="42" t="s">
        <v>49</v>
      </c>
      <c r="D8" s="42">
        <v>1</v>
      </c>
      <c r="E8" s="42" t="s">
        <v>33</v>
      </c>
      <c r="F8" s="42" t="s">
        <v>23</v>
      </c>
      <c r="G8" s="42" t="s">
        <v>28</v>
      </c>
      <c r="H8" s="42" t="s">
        <v>35</v>
      </c>
      <c r="I8" s="42" t="s">
        <v>28</v>
      </c>
      <c r="J8" s="19">
        <f>PRODUCT(VLOOKUP(D8,'DATA Multiplier Table'!$B$5:$C$8,2,FALSE),VLOOKUP(E8,'DATA Multiplier Table'!$B$9:$C$14,2,FALSE),VLOOKUP(F8,'DATA Multiplier Table'!$B$15:$C$18,2,FALSE),VLOOKUP(G8,'DATA Multiplier Table'!$B$19:$C$20,2,FALSE),VLOOKUP(H8,'DATA Multiplier Table'!$B$21:$C$22,2,FALSE),VLOOKUP(I8,'DATA Multiplier Table'!$B$23:$C$24,2,FALSE))</f>
        <v>6.24</v>
      </c>
    </row>
    <row r="9" spans="1:10" x14ac:dyDescent="0.25">
      <c r="A9" s="21">
        <v>100007</v>
      </c>
      <c r="B9" s="41" t="s">
        <v>69</v>
      </c>
      <c r="C9" s="41" t="s">
        <v>49</v>
      </c>
      <c r="D9" s="41">
        <v>2</v>
      </c>
      <c r="E9" s="41" t="s">
        <v>32</v>
      </c>
      <c r="F9" s="41" t="s">
        <v>23</v>
      </c>
      <c r="G9" s="41" t="s">
        <v>28</v>
      </c>
      <c r="H9" s="41" t="s">
        <v>35</v>
      </c>
      <c r="I9" s="41" t="s">
        <v>28</v>
      </c>
      <c r="J9" s="19">
        <f>PRODUCT(VLOOKUP(D9,'DATA Multiplier Table'!$B$5:$C$8,2,FALSE),VLOOKUP(E9,'DATA Multiplier Table'!$B$9:$C$14,2,FALSE),VLOOKUP(F9,'DATA Multiplier Table'!$B$15:$C$18,2,FALSE),VLOOKUP(G9,'DATA Multiplier Table'!$B$19:$C$20,2,FALSE),VLOOKUP(H9,'DATA Multiplier Table'!$B$21:$C$22,2,FALSE),VLOOKUP(I9,'DATA Multiplier Table'!$B$23:$C$24,2,FALSE))</f>
        <v>3.0420000000000003</v>
      </c>
    </row>
    <row r="10" spans="1:10" x14ac:dyDescent="0.25">
      <c r="A10" s="21">
        <v>100008</v>
      </c>
      <c r="B10" s="41" t="s">
        <v>70</v>
      </c>
      <c r="C10" s="41" t="s">
        <v>49</v>
      </c>
      <c r="D10" s="41">
        <v>3</v>
      </c>
      <c r="E10" s="41" t="s">
        <v>32</v>
      </c>
      <c r="F10" s="41" t="s">
        <v>23</v>
      </c>
      <c r="G10" s="41" t="s">
        <v>28</v>
      </c>
      <c r="H10" s="41" t="s">
        <v>28</v>
      </c>
      <c r="I10" s="41" t="s">
        <v>28</v>
      </c>
      <c r="J10" s="19">
        <f>PRODUCT(VLOOKUP(D10,'DATA Multiplier Table'!$B$5:$C$8,2,FALSE),VLOOKUP(E10,'DATA Multiplier Table'!$B$9:$C$14,2,FALSE),VLOOKUP(F10,'DATA Multiplier Table'!$B$15:$C$18,2,FALSE),VLOOKUP(G10,'DATA Multiplier Table'!$B$19:$C$20,2,FALSE),VLOOKUP(H10,'DATA Multiplier Table'!$B$21:$C$22,2,FALSE),VLOOKUP(I10,'DATA Multiplier Table'!$B$23:$C$24,2,FALSE))</f>
        <v>2.2308000000000003</v>
      </c>
    </row>
    <row r="11" spans="1:10" x14ac:dyDescent="0.25">
      <c r="A11" s="21">
        <v>100009</v>
      </c>
      <c r="B11" s="41" t="s">
        <v>71</v>
      </c>
      <c r="C11" s="42" t="s">
        <v>52</v>
      </c>
      <c r="D11" s="42" t="s">
        <v>44</v>
      </c>
      <c r="E11" s="42" t="s">
        <v>34</v>
      </c>
      <c r="F11" s="42" t="s">
        <v>27</v>
      </c>
      <c r="G11" s="42" t="s">
        <v>35</v>
      </c>
      <c r="H11" s="42" t="s">
        <v>28</v>
      </c>
      <c r="I11" s="42" t="s">
        <v>28</v>
      </c>
      <c r="J11" s="19">
        <f>PRODUCT(VLOOKUP(D11,'DATA Multiplier Table'!$B$5:$C$8,2,FALSE),VLOOKUP(E11,'DATA Multiplier Table'!$B$9:$C$14,2,FALSE),VLOOKUP(F11,'DATA Multiplier Table'!$B$15:$C$18,2,FALSE),VLOOKUP(G11,'DATA Multiplier Table'!$B$19:$C$20,2,FALSE),VLOOKUP(H11,'DATA Multiplier Table'!$B$21:$C$22,2,FALSE),VLOOKUP(I11,'DATA Multiplier Table'!$B$23:$C$24,2,FALSE))</f>
        <v>0.55000000000000004</v>
      </c>
    </row>
    <row r="12" spans="1:10" x14ac:dyDescent="0.25">
      <c r="A12" s="21">
        <v>100010</v>
      </c>
      <c r="B12" s="41" t="s">
        <v>72</v>
      </c>
      <c r="C12" s="42" t="s">
        <v>49</v>
      </c>
      <c r="D12" s="42">
        <v>1</v>
      </c>
      <c r="E12" s="42" t="s">
        <v>33</v>
      </c>
      <c r="F12" s="42" t="s">
        <v>26</v>
      </c>
      <c r="G12" s="42" t="s">
        <v>28</v>
      </c>
      <c r="H12" s="42" t="s">
        <v>35</v>
      </c>
      <c r="I12" s="42" t="s">
        <v>28</v>
      </c>
      <c r="J12" s="19">
        <f>PRODUCT(VLOOKUP(D12,'DATA Multiplier Table'!$B$5:$C$8,2,FALSE),VLOOKUP(E12,'DATA Multiplier Table'!$B$9:$C$14,2,FALSE),VLOOKUP(F12,'DATA Multiplier Table'!$B$15:$C$18,2,FALSE),VLOOKUP(G12,'DATA Multiplier Table'!$B$19:$C$20,2,FALSE),VLOOKUP(H12,'DATA Multiplier Table'!$B$21:$C$22,2,FALSE),VLOOKUP(I12,'DATA Multiplier Table'!$B$23:$C$24,2,FALSE))</f>
        <v>5.28</v>
      </c>
    </row>
    <row r="13" spans="1:10" x14ac:dyDescent="0.25">
      <c r="A13" s="21">
        <v>100011</v>
      </c>
      <c r="B13" s="41" t="s">
        <v>73</v>
      </c>
      <c r="C13" s="42" t="s">
        <v>49</v>
      </c>
      <c r="D13" s="42">
        <v>3</v>
      </c>
      <c r="E13" s="42" t="s">
        <v>33</v>
      </c>
      <c r="F13" s="42" t="s">
        <v>23</v>
      </c>
      <c r="G13" s="42" t="s">
        <v>28</v>
      </c>
      <c r="H13" s="42" t="s">
        <v>28</v>
      </c>
      <c r="I13" s="42" t="s">
        <v>28</v>
      </c>
      <c r="J13" s="19">
        <f>PRODUCT(VLOOKUP(D13,'DATA Multiplier Table'!$B$5:$C$8,2,FALSE),VLOOKUP(E13,'DATA Multiplier Table'!$B$9:$C$14,2,FALSE),VLOOKUP(F13,'DATA Multiplier Table'!$B$15:$C$18,2,FALSE),VLOOKUP(G13,'DATA Multiplier Table'!$B$19:$C$20,2,FALSE),VLOOKUP(H13,'DATA Multiplier Table'!$B$21:$C$22,2,FALSE),VLOOKUP(I13,'DATA Multiplier Table'!$B$23:$C$24,2,FALSE))</f>
        <v>3.4320000000000004</v>
      </c>
    </row>
    <row r="14" spans="1:10" x14ac:dyDescent="0.25">
      <c r="A14" s="21">
        <v>100012</v>
      </c>
      <c r="B14" s="41" t="s">
        <v>74</v>
      </c>
      <c r="C14" s="42" t="s">
        <v>53</v>
      </c>
      <c r="D14" s="42">
        <v>2</v>
      </c>
      <c r="E14" s="42" t="s">
        <v>32</v>
      </c>
      <c r="F14" s="42" t="s">
        <v>26</v>
      </c>
      <c r="G14" s="42" t="s">
        <v>35</v>
      </c>
      <c r="H14" s="42" t="s">
        <v>28</v>
      </c>
      <c r="I14" s="42" t="s">
        <v>28</v>
      </c>
      <c r="J14" s="19">
        <f>PRODUCT(VLOOKUP(D14,'DATA Multiplier Table'!$B$5:$C$8,2,FALSE),VLOOKUP(E14,'DATA Multiplier Table'!$B$9:$C$14,2,FALSE),VLOOKUP(F14,'DATA Multiplier Table'!$B$15:$C$18,2,FALSE),VLOOKUP(G14,'DATA Multiplier Table'!$B$19:$C$20,2,FALSE),VLOOKUP(H14,'DATA Multiplier Table'!$B$21:$C$22,2,FALSE),VLOOKUP(I14,'DATA Multiplier Table'!$B$23:$C$24,2,FALSE))</f>
        <v>2.3595000000000006</v>
      </c>
    </row>
    <row r="15" spans="1:10" x14ac:dyDescent="0.25">
      <c r="A15" s="21">
        <v>100013</v>
      </c>
      <c r="B15" s="41" t="s">
        <v>75</v>
      </c>
      <c r="C15" s="42" t="s">
        <v>52</v>
      </c>
      <c r="D15" s="42">
        <v>1</v>
      </c>
      <c r="E15" s="42" t="s">
        <v>34</v>
      </c>
      <c r="F15" s="42" t="s">
        <v>26</v>
      </c>
      <c r="G15" s="42" t="s">
        <v>35</v>
      </c>
      <c r="H15" s="42" t="s">
        <v>35</v>
      </c>
      <c r="I15" s="42" t="s">
        <v>28</v>
      </c>
      <c r="J15" s="19">
        <f>PRODUCT(VLOOKUP(D15,'DATA Multiplier Table'!$B$5:$C$8,2,FALSE),VLOOKUP(E15,'DATA Multiplier Table'!$B$9:$C$14,2,FALSE),VLOOKUP(F15,'DATA Multiplier Table'!$B$15:$C$18,2,FALSE),VLOOKUP(G15,'DATA Multiplier Table'!$B$19:$C$20,2,FALSE),VLOOKUP(H15,'DATA Multiplier Table'!$B$21:$C$22,2,FALSE),VLOOKUP(I15,'DATA Multiplier Table'!$B$23:$C$24,2,FALSE))</f>
        <v>1.1000000000000001</v>
      </c>
    </row>
    <row r="16" spans="1:10" x14ac:dyDescent="0.25">
      <c r="A16" s="21">
        <v>100014</v>
      </c>
      <c r="B16" s="41" t="s">
        <v>76</v>
      </c>
      <c r="C16" s="42" t="s">
        <v>51</v>
      </c>
      <c r="D16" s="42">
        <v>3</v>
      </c>
      <c r="E16" s="42" t="s">
        <v>25</v>
      </c>
      <c r="F16" s="42" t="s">
        <v>26</v>
      </c>
      <c r="G16" s="42" t="s">
        <v>28</v>
      </c>
      <c r="H16" s="42" t="s">
        <v>28</v>
      </c>
      <c r="I16" s="42" t="s">
        <v>28</v>
      </c>
      <c r="J16" s="19">
        <f>PRODUCT(VLOOKUP(D16,'DATA Multiplier Table'!$B$5:$C$8,2,FALSE),VLOOKUP(E16,'DATA Multiplier Table'!$B$9:$C$14,2,FALSE),VLOOKUP(F16,'DATA Multiplier Table'!$B$15:$C$18,2,FALSE),VLOOKUP(G16,'DATA Multiplier Table'!$B$19:$C$20,2,FALSE),VLOOKUP(H16,'DATA Multiplier Table'!$B$21:$C$22,2,FALSE),VLOOKUP(I16,'DATA Multiplier Table'!$B$23:$C$24,2,FALSE))</f>
        <v>5.8080000000000007</v>
      </c>
    </row>
    <row r="17" spans="1:10" x14ac:dyDescent="0.25">
      <c r="A17" s="21">
        <v>100015</v>
      </c>
      <c r="B17" s="41" t="s">
        <v>77</v>
      </c>
      <c r="C17" s="42" t="s">
        <v>49</v>
      </c>
      <c r="D17" s="42">
        <v>1</v>
      </c>
      <c r="E17" s="42" t="s">
        <v>32</v>
      </c>
      <c r="F17" s="42" t="s">
        <v>26</v>
      </c>
      <c r="G17" s="42" t="s">
        <v>28</v>
      </c>
      <c r="H17" s="42" t="s">
        <v>35</v>
      </c>
      <c r="I17" s="42" t="s">
        <v>28</v>
      </c>
      <c r="J17" s="19">
        <f>PRODUCT(VLOOKUP(D17,'DATA Multiplier Table'!$B$5:$C$8,2,FALSE),VLOOKUP(E17,'DATA Multiplier Table'!$B$9:$C$14,2,FALSE),VLOOKUP(F17,'DATA Multiplier Table'!$B$15:$C$18,2,FALSE),VLOOKUP(G17,'DATA Multiplier Table'!$B$19:$C$20,2,FALSE),VLOOKUP(H17,'DATA Multiplier Table'!$B$21:$C$22,2,FALSE),VLOOKUP(I17,'DATA Multiplier Table'!$B$23:$C$24,2,FALSE))</f>
        <v>3.4320000000000004</v>
      </c>
    </row>
    <row r="18" spans="1:10" x14ac:dyDescent="0.25">
      <c r="A18" s="21">
        <v>100016</v>
      </c>
      <c r="B18" s="41" t="s">
        <v>78</v>
      </c>
      <c r="C18" s="42" t="s">
        <v>51</v>
      </c>
      <c r="D18" s="42">
        <v>2</v>
      </c>
      <c r="E18" s="42" t="s">
        <v>33</v>
      </c>
      <c r="F18" s="42" t="s">
        <v>26</v>
      </c>
      <c r="G18" s="42" t="s">
        <v>35</v>
      </c>
      <c r="H18" s="42" t="s">
        <v>35</v>
      </c>
      <c r="I18" s="42" t="s">
        <v>28</v>
      </c>
      <c r="J18" s="19">
        <f>PRODUCT(VLOOKUP(D18,'DATA Multiplier Table'!$B$5:$C$8,2,FALSE),VLOOKUP(E18,'DATA Multiplier Table'!$B$9:$C$14,2,FALSE),VLOOKUP(F18,'DATA Multiplier Table'!$B$15:$C$18,2,FALSE),VLOOKUP(G18,'DATA Multiplier Table'!$B$19:$C$20,2,FALSE),VLOOKUP(H18,'DATA Multiplier Table'!$B$21:$C$22,2,FALSE),VLOOKUP(I18,'DATA Multiplier Table'!$B$23:$C$24,2,FALSE))</f>
        <v>3.3000000000000003</v>
      </c>
    </row>
    <row r="19" spans="1:10" x14ac:dyDescent="0.25">
      <c r="A19" s="21">
        <v>100017</v>
      </c>
      <c r="B19" s="41" t="s">
        <v>79</v>
      </c>
      <c r="C19" s="42" t="s">
        <v>54</v>
      </c>
      <c r="D19" s="42">
        <v>3</v>
      </c>
      <c r="E19" s="42" t="s">
        <v>33</v>
      </c>
      <c r="F19" s="42" t="s">
        <v>23</v>
      </c>
      <c r="G19" s="42" t="s">
        <v>35</v>
      </c>
      <c r="H19" s="42" t="s">
        <v>28</v>
      </c>
      <c r="I19" s="42" t="s">
        <v>28</v>
      </c>
      <c r="J19" s="19">
        <f>PRODUCT(VLOOKUP(D19,'DATA Multiplier Table'!$B$5:$C$8,2,FALSE),VLOOKUP(E19,'DATA Multiplier Table'!$B$9:$C$14,2,FALSE),VLOOKUP(F19,'DATA Multiplier Table'!$B$15:$C$18,2,FALSE),VLOOKUP(G19,'DATA Multiplier Table'!$B$19:$C$20,2,FALSE),VLOOKUP(H19,'DATA Multiplier Table'!$B$21:$C$22,2,FALSE),VLOOKUP(I19,'DATA Multiplier Table'!$B$23:$C$24,2,FALSE))</f>
        <v>2.8600000000000003</v>
      </c>
    </row>
    <row r="20" spans="1:10" x14ac:dyDescent="0.25">
      <c r="A20" s="21">
        <v>100018</v>
      </c>
      <c r="B20" s="41" t="s">
        <v>80</v>
      </c>
      <c r="C20" s="42" t="s">
        <v>49</v>
      </c>
      <c r="D20" s="42">
        <v>2</v>
      </c>
      <c r="E20" s="42" t="s">
        <v>32</v>
      </c>
      <c r="F20" s="42" t="s">
        <v>26</v>
      </c>
      <c r="G20" s="42" t="s">
        <v>28</v>
      </c>
      <c r="H20" s="42" t="s">
        <v>28</v>
      </c>
      <c r="I20" s="42" t="s">
        <v>28</v>
      </c>
      <c r="J20" s="19">
        <f>PRODUCT(VLOOKUP(D20,'DATA Multiplier Table'!$B$5:$C$8,2,FALSE),VLOOKUP(E20,'DATA Multiplier Table'!$B$9:$C$14,2,FALSE),VLOOKUP(F20,'DATA Multiplier Table'!$B$15:$C$18,2,FALSE),VLOOKUP(G20,'DATA Multiplier Table'!$B$19:$C$20,2,FALSE),VLOOKUP(H20,'DATA Multiplier Table'!$B$21:$C$22,2,FALSE),VLOOKUP(I20,'DATA Multiplier Table'!$B$23:$C$24,2,FALSE))</f>
        <v>2.8314000000000004</v>
      </c>
    </row>
    <row r="21" spans="1:10" x14ac:dyDescent="0.25">
      <c r="A21" s="21">
        <v>100019</v>
      </c>
      <c r="B21" s="41" t="s">
        <v>81</v>
      </c>
      <c r="C21" s="41" t="s">
        <v>51</v>
      </c>
      <c r="D21" s="41">
        <v>3</v>
      </c>
      <c r="E21" s="41" t="s">
        <v>31</v>
      </c>
      <c r="F21" s="41" t="s">
        <v>26</v>
      </c>
      <c r="G21" s="41" t="s">
        <v>28</v>
      </c>
      <c r="H21" s="41" t="s">
        <v>28</v>
      </c>
      <c r="I21" s="41" t="s">
        <v>28</v>
      </c>
      <c r="J21" s="19">
        <f>PRODUCT(VLOOKUP(D21,'DATA Multiplier Table'!$B$5:$C$8,2,FALSE),VLOOKUP(E21,'DATA Multiplier Table'!$B$9:$C$14,2,FALSE),VLOOKUP(F21,'DATA Multiplier Table'!$B$15:$C$18,2,FALSE),VLOOKUP(G21,'DATA Multiplier Table'!$B$19:$C$20,2,FALSE),VLOOKUP(H21,'DATA Multiplier Table'!$B$21:$C$22,2,FALSE),VLOOKUP(I21,'DATA Multiplier Table'!$B$23:$C$24,2,FALSE))</f>
        <v>1.4520000000000002</v>
      </c>
    </row>
    <row r="22" spans="1:10" x14ac:dyDescent="0.25">
      <c r="A22" s="21">
        <v>100020</v>
      </c>
      <c r="B22" s="41" t="s">
        <v>82</v>
      </c>
      <c r="C22" s="42" t="s">
        <v>55</v>
      </c>
      <c r="D22" s="42">
        <v>1</v>
      </c>
      <c r="E22" s="42" t="s">
        <v>31</v>
      </c>
      <c r="F22" s="42" t="s">
        <v>26</v>
      </c>
      <c r="G22" s="42" t="s">
        <v>35</v>
      </c>
      <c r="H22" s="42" t="s">
        <v>35</v>
      </c>
      <c r="I22" s="42" t="s">
        <v>28</v>
      </c>
      <c r="J22" s="19">
        <f>PRODUCT(VLOOKUP(D22,'DATA Multiplier Table'!$B$5:$C$8,2,FALSE),VLOOKUP(E22,'DATA Multiplier Table'!$B$9:$C$14,2,FALSE),VLOOKUP(F22,'DATA Multiplier Table'!$B$15:$C$18,2,FALSE),VLOOKUP(G22,'DATA Multiplier Table'!$B$19:$C$20,2,FALSE),VLOOKUP(H22,'DATA Multiplier Table'!$B$21:$C$22,2,FALSE),VLOOKUP(I22,'DATA Multiplier Table'!$B$23:$C$24,2,FALSE))</f>
        <v>2.2000000000000002</v>
      </c>
    </row>
    <row r="23" spans="1:10" x14ac:dyDescent="0.25">
      <c r="A23" s="21">
        <v>100021</v>
      </c>
      <c r="B23" s="41" t="s">
        <v>83</v>
      </c>
      <c r="C23" s="42" t="s">
        <v>56</v>
      </c>
      <c r="D23" s="42">
        <v>1</v>
      </c>
      <c r="E23" s="42" t="s">
        <v>33</v>
      </c>
      <c r="F23" s="42" t="s">
        <v>23</v>
      </c>
      <c r="G23" s="42" t="s">
        <v>28</v>
      </c>
      <c r="H23" s="42" t="s">
        <v>35</v>
      </c>
      <c r="I23" s="42" t="s">
        <v>28</v>
      </c>
      <c r="J23" s="19">
        <f>PRODUCT(VLOOKUP(D23,'DATA Multiplier Table'!$B$5:$C$8,2,FALSE),VLOOKUP(E23,'DATA Multiplier Table'!$B$9:$C$14,2,FALSE),VLOOKUP(F23,'DATA Multiplier Table'!$B$15:$C$18,2,FALSE),VLOOKUP(G23,'DATA Multiplier Table'!$B$19:$C$20,2,FALSE),VLOOKUP(H23,'DATA Multiplier Table'!$B$21:$C$22,2,FALSE),VLOOKUP(I23,'DATA Multiplier Table'!$B$23:$C$24,2,FALSE))</f>
        <v>6.24</v>
      </c>
    </row>
    <row r="24" spans="1:10" x14ac:dyDescent="0.25">
      <c r="A24" s="21">
        <v>100022</v>
      </c>
      <c r="B24" s="41" t="s">
        <v>84</v>
      </c>
      <c r="C24" s="42" t="s">
        <v>56</v>
      </c>
      <c r="D24" s="42">
        <v>3</v>
      </c>
      <c r="E24" s="42" t="s">
        <v>32</v>
      </c>
      <c r="F24" s="42" t="s">
        <v>26</v>
      </c>
      <c r="G24" s="42" t="s">
        <v>35</v>
      </c>
      <c r="H24" s="42" t="s">
        <v>28</v>
      </c>
      <c r="I24" s="42" t="s">
        <v>28</v>
      </c>
      <c r="J24" s="19">
        <f>PRODUCT(VLOOKUP(D24,'DATA Multiplier Table'!$B$5:$C$8,2,FALSE),VLOOKUP(E24,'DATA Multiplier Table'!$B$9:$C$14,2,FALSE),VLOOKUP(F24,'DATA Multiplier Table'!$B$15:$C$18,2,FALSE),VLOOKUP(G24,'DATA Multiplier Table'!$B$19:$C$20,2,FALSE),VLOOKUP(H24,'DATA Multiplier Table'!$B$21:$C$22,2,FALSE),VLOOKUP(I24,'DATA Multiplier Table'!$B$23:$C$24,2,FALSE))</f>
        <v>1.5730000000000004</v>
      </c>
    </row>
    <row r="25" spans="1:10" x14ac:dyDescent="0.25">
      <c r="A25" s="21">
        <v>100023</v>
      </c>
      <c r="B25" s="41" t="s">
        <v>85</v>
      </c>
      <c r="C25" s="42" t="s">
        <v>56</v>
      </c>
      <c r="D25" s="42">
        <v>3</v>
      </c>
      <c r="E25" s="42" t="s">
        <v>32</v>
      </c>
      <c r="F25" s="42" t="s">
        <v>26</v>
      </c>
      <c r="G25" s="42" t="s">
        <v>28</v>
      </c>
      <c r="H25" s="42" t="s">
        <v>28</v>
      </c>
      <c r="I25" s="42" t="s">
        <v>28</v>
      </c>
      <c r="J25" s="19">
        <f>PRODUCT(VLOOKUP(D25,'DATA Multiplier Table'!$B$5:$C$8,2,FALSE),VLOOKUP(E25,'DATA Multiplier Table'!$B$9:$C$14,2,FALSE),VLOOKUP(F25,'DATA Multiplier Table'!$B$15:$C$18,2,FALSE),VLOOKUP(G25,'DATA Multiplier Table'!$B$19:$C$20,2,FALSE),VLOOKUP(H25,'DATA Multiplier Table'!$B$21:$C$22,2,FALSE),VLOOKUP(I25,'DATA Multiplier Table'!$B$23:$C$24,2,FALSE))</f>
        <v>1.8876000000000004</v>
      </c>
    </row>
    <row r="26" spans="1:10" x14ac:dyDescent="0.25">
      <c r="A26" s="21">
        <v>100024</v>
      </c>
      <c r="B26" s="41" t="s">
        <v>86</v>
      </c>
      <c r="C26" s="42" t="s">
        <v>57</v>
      </c>
      <c r="D26" s="42">
        <v>3</v>
      </c>
      <c r="E26" s="42" t="s">
        <v>30</v>
      </c>
      <c r="F26" s="42" t="s">
        <v>22</v>
      </c>
      <c r="G26" s="42" t="s">
        <v>35</v>
      </c>
      <c r="H26" s="42" t="s">
        <v>28</v>
      </c>
      <c r="I26" s="42" t="s">
        <v>28</v>
      </c>
      <c r="J26" s="19">
        <f>PRODUCT(VLOOKUP(D26,'DATA Multiplier Table'!$B$5:$C$8,2,FALSE),VLOOKUP(E26,'DATA Multiplier Table'!$B$9:$C$14,2,FALSE),VLOOKUP(F26,'DATA Multiplier Table'!$B$15:$C$18,2,FALSE),VLOOKUP(G26,'DATA Multiplier Table'!$B$19:$C$20,2,FALSE),VLOOKUP(H26,'DATA Multiplier Table'!$B$21:$C$22,2,FALSE),VLOOKUP(I26,'DATA Multiplier Table'!$B$23:$C$24,2,FALSE))</f>
        <v>0.61599999999999999</v>
      </c>
    </row>
    <row r="27" spans="1:10" x14ac:dyDescent="0.25">
      <c r="A27" s="21">
        <v>100025</v>
      </c>
      <c r="B27" s="41" t="s">
        <v>87</v>
      </c>
      <c r="C27" s="42" t="s">
        <v>56</v>
      </c>
      <c r="D27" s="42">
        <v>2</v>
      </c>
      <c r="E27" s="42" t="s">
        <v>32</v>
      </c>
      <c r="F27" s="42" t="s">
        <v>23</v>
      </c>
      <c r="G27" s="42" t="s">
        <v>28</v>
      </c>
      <c r="H27" s="42" t="s">
        <v>35</v>
      </c>
      <c r="I27" s="42" t="s">
        <v>28</v>
      </c>
      <c r="J27" s="19">
        <f>PRODUCT(VLOOKUP(D27,'DATA Multiplier Table'!$B$5:$C$8,2,FALSE),VLOOKUP(E27,'DATA Multiplier Table'!$B$9:$C$14,2,FALSE),VLOOKUP(F27,'DATA Multiplier Table'!$B$15:$C$18,2,FALSE),VLOOKUP(G27,'DATA Multiplier Table'!$B$19:$C$20,2,FALSE),VLOOKUP(H27,'DATA Multiplier Table'!$B$21:$C$22,2,FALSE),VLOOKUP(I27,'DATA Multiplier Table'!$B$23:$C$24,2,FALSE))</f>
        <v>3.0420000000000003</v>
      </c>
    </row>
    <row r="28" spans="1:10" x14ac:dyDescent="0.25">
      <c r="A28" s="21">
        <v>100026</v>
      </c>
      <c r="B28" s="41" t="s">
        <v>88</v>
      </c>
      <c r="C28" s="42" t="s">
        <v>49</v>
      </c>
      <c r="D28" s="42">
        <v>2</v>
      </c>
      <c r="E28" s="42" t="s">
        <v>31</v>
      </c>
      <c r="F28" s="42" t="s">
        <v>23</v>
      </c>
      <c r="G28" s="42" t="s">
        <v>28</v>
      </c>
      <c r="H28" s="42" t="s">
        <v>28</v>
      </c>
      <c r="I28" s="42" t="s">
        <v>28</v>
      </c>
      <c r="J28" s="19">
        <f>PRODUCT(VLOOKUP(D28,'DATA Multiplier Table'!$B$5:$C$8,2,FALSE),VLOOKUP(E28,'DATA Multiplier Table'!$B$9:$C$14,2,FALSE),VLOOKUP(F28,'DATA Multiplier Table'!$B$15:$C$18,2,FALSE),VLOOKUP(G28,'DATA Multiplier Table'!$B$19:$C$20,2,FALSE),VLOOKUP(H28,'DATA Multiplier Table'!$B$21:$C$22,2,FALSE),VLOOKUP(I28,'DATA Multiplier Table'!$B$23:$C$24,2,FALSE))</f>
        <v>2.5740000000000007</v>
      </c>
    </row>
    <row r="29" spans="1:10" x14ac:dyDescent="0.25">
      <c r="A29" s="21">
        <v>100027</v>
      </c>
      <c r="B29" s="41" t="s">
        <v>89</v>
      </c>
      <c r="C29" s="42" t="s">
        <v>49</v>
      </c>
      <c r="D29" s="42">
        <v>1</v>
      </c>
      <c r="E29" s="42" t="s">
        <v>33</v>
      </c>
      <c r="F29" s="42" t="s">
        <v>23</v>
      </c>
      <c r="G29" s="42" t="s">
        <v>28</v>
      </c>
      <c r="H29" s="42" t="s">
        <v>35</v>
      </c>
      <c r="I29" s="42" t="s">
        <v>28</v>
      </c>
      <c r="J29" s="19">
        <f>PRODUCT(VLOOKUP(D29,'DATA Multiplier Table'!$B$5:$C$8,2,FALSE),VLOOKUP(E29,'DATA Multiplier Table'!$B$9:$C$14,2,FALSE),VLOOKUP(F29,'DATA Multiplier Table'!$B$15:$C$18,2,FALSE),VLOOKUP(G29,'DATA Multiplier Table'!$B$19:$C$20,2,FALSE),VLOOKUP(H29,'DATA Multiplier Table'!$B$21:$C$22,2,FALSE),VLOOKUP(I29,'DATA Multiplier Table'!$B$23:$C$24,2,FALSE))</f>
        <v>6.24</v>
      </c>
    </row>
    <row r="30" spans="1:10" x14ac:dyDescent="0.25">
      <c r="A30" s="21">
        <v>100028</v>
      </c>
      <c r="B30" s="41" t="s">
        <v>90</v>
      </c>
      <c r="C30" s="42" t="s">
        <v>56</v>
      </c>
      <c r="D30" s="42">
        <v>3</v>
      </c>
      <c r="E30" s="42" t="s">
        <v>33</v>
      </c>
      <c r="F30" s="42" t="s">
        <v>26</v>
      </c>
      <c r="G30" s="42" t="s">
        <v>28</v>
      </c>
      <c r="H30" s="42" t="s">
        <v>28</v>
      </c>
      <c r="I30" s="42" t="s">
        <v>28</v>
      </c>
      <c r="J30" s="19">
        <f>PRODUCT(VLOOKUP(D30,'DATA Multiplier Table'!$B$5:$C$8,2,FALSE),VLOOKUP(E30,'DATA Multiplier Table'!$B$9:$C$14,2,FALSE),VLOOKUP(F30,'DATA Multiplier Table'!$B$15:$C$18,2,FALSE),VLOOKUP(G30,'DATA Multiplier Table'!$B$19:$C$20,2,FALSE),VLOOKUP(H30,'DATA Multiplier Table'!$B$21:$C$22,2,FALSE),VLOOKUP(I30,'DATA Multiplier Table'!$B$23:$C$24,2,FALSE))</f>
        <v>2.9040000000000004</v>
      </c>
    </row>
    <row r="31" spans="1:10" x14ac:dyDescent="0.25">
      <c r="A31" s="21">
        <v>100029</v>
      </c>
      <c r="B31" s="41" t="s">
        <v>91</v>
      </c>
      <c r="C31" s="42" t="s">
        <v>57</v>
      </c>
      <c r="D31" s="42">
        <v>1</v>
      </c>
      <c r="E31" s="42" t="s">
        <v>33</v>
      </c>
      <c r="F31" s="42" t="s">
        <v>26</v>
      </c>
      <c r="G31" s="42" t="s">
        <v>28</v>
      </c>
      <c r="H31" s="42" t="s">
        <v>28</v>
      </c>
      <c r="I31" s="42" t="s">
        <v>28</v>
      </c>
      <c r="J31" s="19">
        <f>PRODUCT(VLOOKUP(D31,'DATA Multiplier Table'!$B$5:$C$8,2,FALSE),VLOOKUP(E31,'DATA Multiplier Table'!$B$9:$C$14,2,FALSE),VLOOKUP(F31,'DATA Multiplier Table'!$B$15:$C$18,2,FALSE),VLOOKUP(G31,'DATA Multiplier Table'!$B$19:$C$20,2,FALSE),VLOOKUP(H31,'DATA Multiplier Table'!$B$21:$C$22,2,FALSE),VLOOKUP(I31,'DATA Multiplier Table'!$B$23:$C$24,2,FALSE))</f>
        <v>5.8080000000000007</v>
      </c>
    </row>
    <row r="32" spans="1:10" x14ac:dyDescent="0.25">
      <c r="A32" s="21">
        <v>100030</v>
      </c>
      <c r="B32" s="41" t="s">
        <v>92</v>
      </c>
      <c r="C32" s="42" t="s">
        <v>57</v>
      </c>
      <c r="D32" s="42">
        <v>1</v>
      </c>
      <c r="E32" s="42" t="s">
        <v>32</v>
      </c>
      <c r="F32" s="42" t="s">
        <v>23</v>
      </c>
      <c r="G32" s="42" t="s">
        <v>35</v>
      </c>
      <c r="H32" s="42" t="s">
        <v>35</v>
      </c>
      <c r="I32" s="42" t="s">
        <v>28</v>
      </c>
      <c r="J32" s="19">
        <f>PRODUCT(VLOOKUP(D32,'DATA Multiplier Table'!$B$5:$C$8,2,FALSE),VLOOKUP(E32,'DATA Multiplier Table'!$B$9:$C$14,2,FALSE),VLOOKUP(F32,'DATA Multiplier Table'!$B$15:$C$18,2,FALSE),VLOOKUP(G32,'DATA Multiplier Table'!$B$19:$C$20,2,FALSE),VLOOKUP(H32,'DATA Multiplier Table'!$B$21:$C$22,2,FALSE),VLOOKUP(I32,'DATA Multiplier Table'!$B$23:$C$24,2,FALSE))</f>
        <v>3.3800000000000003</v>
      </c>
    </row>
    <row r="33" spans="1:10" x14ac:dyDescent="0.25">
      <c r="A33" s="21">
        <v>100031</v>
      </c>
      <c r="B33" s="41" t="s">
        <v>93</v>
      </c>
      <c r="C33" s="42" t="s">
        <v>56</v>
      </c>
      <c r="D33" s="42">
        <v>2</v>
      </c>
      <c r="E33" s="42" t="s">
        <v>31</v>
      </c>
      <c r="F33" s="42" t="s">
        <v>23</v>
      </c>
      <c r="G33" s="42" t="s">
        <v>28</v>
      </c>
      <c r="H33" s="42" t="s">
        <v>35</v>
      </c>
      <c r="I33" s="42" t="s">
        <v>28</v>
      </c>
      <c r="J33" s="19">
        <f>PRODUCT(VLOOKUP(D33,'DATA Multiplier Table'!$B$5:$C$8,2,FALSE),VLOOKUP(E33,'DATA Multiplier Table'!$B$9:$C$14,2,FALSE),VLOOKUP(F33,'DATA Multiplier Table'!$B$15:$C$18,2,FALSE),VLOOKUP(G33,'DATA Multiplier Table'!$B$19:$C$20,2,FALSE),VLOOKUP(H33,'DATA Multiplier Table'!$B$21:$C$22,2,FALSE),VLOOKUP(I33,'DATA Multiplier Table'!$B$23:$C$24,2,FALSE))</f>
        <v>2.3400000000000003</v>
      </c>
    </row>
    <row r="34" spans="1:10" x14ac:dyDescent="0.25">
      <c r="A34" s="21">
        <v>100032</v>
      </c>
      <c r="B34" s="41" t="s">
        <v>94</v>
      </c>
      <c r="C34" s="42" t="s">
        <v>56</v>
      </c>
      <c r="D34" s="42">
        <v>2</v>
      </c>
      <c r="E34" s="42" t="s">
        <v>33</v>
      </c>
      <c r="F34" s="42" t="s">
        <v>26</v>
      </c>
      <c r="G34" s="42" t="s">
        <v>35</v>
      </c>
      <c r="H34" s="42" t="s">
        <v>28</v>
      </c>
      <c r="I34" s="42" t="s">
        <v>28</v>
      </c>
      <c r="J34" s="19">
        <f>PRODUCT(VLOOKUP(D34,'DATA Multiplier Table'!$B$5:$C$8,2,FALSE),VLOOKUP(E34,'DATA Multiplier Table'!$B$9:$C$14,2,FALSE),VLOOKUP(F34,'DATA Multiplier Table'!$B$15:$C$18,2,FALSE),VLOOKUP(G34,'DATA Multiplier Table'!$B$19:$C$20,2,FALSE),VLOOKUP(H34,'DATA Multiplier Table'!$B$21:$C$22,2,FALSE),VLOOKUP(I34,'DATA Multiplier Table'!$B$23:$C$24,2,FALSE))</f>
        <v>3.6300000000000008</v>
      </c>
    </row>
    <row r="35" spans="1:10" x14ac:dyDescent="0.25">
      <c r="A35" s="21">
        <v>100033</v>
      </c>
      <c r="B35" s="41" t="s">
        <v>95</v>
      </c>
      <c r="C35" s="42" t="s">
        <v>56</v>
      </c>
      <c r="D35" s="42">
        <v>2</v>
      </c>
      <c r="E35" s="42" t="s">
        <v>32</v>
      </c>
      <c r="F35" s="42" t="s">
        <v>26</v>
      </c>
      <c r="G35" s="42" t="s">
        <v>28</v>
      </c>
      <c r="H35" s="42" t="s">
        <v>28</v>
      </c>
      <c r="I35" s="42" t="s">
        <v>28</v>
      </c>
      <c r="J35" s="19">
        <f>PRODUCT(VLOOKUP(D35,'DATA Multiplier Table'!$B$5:$C$8,2,FALSE),VLOOKUP(E35,'DATA Multiplier Table'!$B$9:$C$14,2,FALSE),VLOOKUP(F35,'DATA Multiplier Table'!$B$15:$C$18,2,FALSE),VLOOKUP(G35,'DATA Multiplier Table'!$B$19:$C$20,2,FALSE),VLOOKUP(H35,'DATA Multiplier Table'!$B$21:$C$22,2,FALSE),VLOOKUP(I35,'DATA Multiplier Table'!$B$23:$C$24,2,FALSE))</f>
        <v>2.8314000000000004</v>
      </c>
    </row>
    <row r="36" spans="1:10" x14ac:dyDescent="0.25">
      <c r="A36" s="21">
        <v>100034</v>
      </c>
      <c r="B36" s="41" t="s">
        <v>96</v>
      </c>
      <c r="C36" s="42" t="s">
        <v>56</v>
      </c>
      <c r="D36" s="42">
        <v>2</v>
      </c>
      <c r="E36" s="42" t="s">
        <v>33</v>
      </c>
      <c r="F36" s="42" t="s">
        <v>26</v>
      </c>
      <c r="G36" s="42" t="s">
        <v>35</v>
      </c>
      <c r="H36" s="42" t="s">
        <v>35</v>
      </c>
      <c r="I36" s="42" t="s">
        <v>28</v>
      </c>
      <c r="J36" s="19">
        <f>PRODUCT(VLOOKUP(D36,'DATA Multiplier Table'!$B$5:$C$8,2,FALSE),VLOOKUP(E36,'DATA Multiplier Table'!$B$9:$C$14,2,FALSE),VLOOKUP(F36,'DATA Multiplier Table'!$B$15:$C$18,2,FALSE),VLOOKUP(G36,'DATA Multiplier Table'!$B$19:$C$20,2,FALSE),VLOOKUP(H36,'DATA Multiplier Table'!$B$21:$C$22,2,FALSE),VLOOKUP(I36,'DATA Multiplier Table'!$B$23:$C$24,2,FALSE))</f>
        <v>3.3000000000000003</v>
      </c>
    </row>
    <row r="37" spans="1:10" x14ac:dyDescent="0.25">
      <c r="A37" s="21">
        <v>100035</v>
      </c>
      <c r="B37" s="41" t="s">
        <v>97</v>
      </c>
      <c r="C37" s="42" t="s">
        <v>56</v>
      </c>
      <c r="D37" s="42">
        <v>3</v>
      </c>
      <c r="E37" s="42" t="s">
        <v>31</v>
      </c>
      <c r="F37" s="42" t="s">
        <v>26</v>
      </c>
      <c r="G37" s="42" t="s">
        <v>28</v>
      </c>
      <c r="H37" s="42" t="s">
        <v>28</v>
      </c>
      <c r="I37" s="42" t="s">
        <v>28</v>
      </c>
      <c r="J37" s="19">
        <f>PRODUCT(VLOOKUP(D37,'DATA Multiplier Table'!$B$5:$C$8,2,FALSE),VLOOKUP(E37,'DATA Multiplier Table'!$B$9:$C$14,2,FALSE),VLOOKUP(F37,'DATA Multiplier Table'!$B$15:$C$18,2,FALSE),VLOOKUP(G37,'DATA Multiplier Table'!$B$19:$C$20,2,FALSE),VLOOKUP(H37,'DATA Multiplier Table'!$B$21:$C$22,2,FALSE),VLOOKUP(I37,'DATA Multiplier Table'!$B$23:$C$24,2,FALSE))</f>
        <v>1.4520000000000002</v>
      </c>
    </row>
    <row r="38" spans="1:10" x14ac:dyDescent="0.25">
      <c r="A38" s="21">
        <v>100036</v>
      </c>
      <c r="B38" s="41" t="s">
        <v>98</v>
      </c>
      <c r="C38" s="42" t="s">
        <v>56</v>
      </c>
      <c r="D38" s="42">
        <v>1</v>
      </c>
      <c r="E38" s="42" t="s">
        <v>25</v>
      </c>
      <c r="F38" s="42" t="s">
        <v>23</v>
      </c>
      <c r="G38" s="42" t="s">
        <v>28</v>
      </c>
      <c r="H38" s="42" t="s">
        <v>35</v>
      </c>
      <c r="I38" s="42" t="s">
        <v>28</v>
      </c>
      <c r="J38" s="19">
        <f>PRODUCT(VLOOKUP(D38,'DATA Multiplier Table'!$B$5:$C$8,2,FALSE),VLOOKUP(E38,'DATA Multiplier Table'!$B$9:$C$14,2,FALSE),VLOOKUP(F38,'DATA Multiplier Table'!$B$15:$C$18,2,FALSE),VLOOKUP(G38,'DATA Multiplier Table'!$B$19:$C$20,2,FALSE),VLOOKUP(H38,'DATA Multiplier Table'!$B$21:$C$22,2,FALSE),VLOOKUP(I38,'DATA Multiplier Table'!$B$23:$C$24,2,FALSE))</f>
        <v>12.48</v>
      </c>
    </row>
    <row r="39" spans="1:10" x14ac:dyDescent="0.25">
      <c r="A39" s="21">
        <v>100037</v>
      </c>
      <c r="B39" s="41" t="s">
        <v>99</v>
      </c>
      <c r="C39" s="42" t="s">
        <v>57</v>
      </c>
      <c r="D39" s="42">
        <v>2</v>
      </c>
      <c r="E39" s="42" t="s">
        <v>32</v>
      </c>
      <c r="F39" s="42" t="s">
        <v>26</v>
      </c>
      <c r="G39" s="42" t="s">
        <v>28</v>
      </c>
      <c r="H39" s="42" t="s">
        <v>35</v>
      </c>
      <c r="I39" s="42" t="s">
        <v>28</v>
      </c>
      <c r="J39" s="19">
        <f>PRODUCT(VLOOKUP(D39,'DATA Multiplier Table'!$B$5:$C$8,2,FALSE),VLOOKUP(E39,'DATA Multiplier Table'!$B$9:$C$14,2,FALSE),VLOOKUP(F39,'DATA Multiplier Table'!$B$15:$C$18,2,FALSE),VLOOKUP(G39,'DATA Multiplier Table'!$B$19:$C$20,2,FALSE),VLOOKUP(H39,'DATA Multiplier Table'!$B$21:$C$22,2,FALSE),VLOOKUP(I39,'DATA Multiplier Table'!$B$23:$C$24,2,FALSE))</f>
        <v>2.5740000000000003</v>
      </c>
    </row>
    <row r="40" spans="1:10" x14ac:dyDescent="0.25">
      <c r="A40" s="21">
        <v>100038</v>
      </c>
      <c r="B40" s="41" t="s">
        <v>100</v>
      </c>
      <c r="C40" s="42" t="s">
        <v>56</v>
      </c>
      <c r="D40" s="42">
        <v>1</v>
      </c>
      <c r="E40" s="42" t="s">
        <v>25</v>
      </c>
      <c r="F40" s="42" t="s">
        <v>23</v>
      </c>
      <c r="G40" s="42" t="s">
        <v>28</v>
      </c>
      <c r="H40" s="42" t="s">
        <v>35</v>
      </c>
      <c r="I40" s="42" t="s">
        <v>28</v>
      </c>
      <c r="J40" s="19">
        <f>PRODUCT(VLOOKUP(D40,'DATA Multiplier Table'!$B$5:$C$8,2,FALSE),VLOOKUP(E40,'DATA Multiplier Table'!$B$9:$C$14,2,FALSE),VLOOKUP(F40,'DATA Multiplier Table'!$B$15:$C$18,2,FALSE),VLOOKUP(G40,'DATA Multiplier Table'!$B$19:$C$20,2,FALSE),VLOOKUP(H40,'DATA Multiplier Table'!$B$21:$C$22,2,FALSE),VLOOKUP(I40,'DATA Multiplier Table'!$B$23:$C$24,2,FALSE))</f>
        <v>12.48</v>
      </c>
    </row>
    <row r="41" spans="1:10" x14ac:dyDescent="0.25">
      <c r="A41" s="21">
        <v>100039</v>
      </c>
      <c r="B41" s="41" t="s">
        <v>101</v>
      </c>
      <c r="C41" s="42" t="s">
        <v>57</v>
      </c>
      <c r="D41" s="42">
        <v>2</v>
      </c>
      <c r="E41" s="42" t="s">
        <v>31</v>
      </c>
      <c r="F41" s="42" t="s">
        <v>23</v>
      </c>
      <c r="G41" s="42" t="s">
        <v>35</v>
      </c>
      <c r="H41" s="42" t="s">
        <v>35</v>
      </c>
      <c r="I41" s="42" t="s">
        <v>28</v>
      </c>
      <c r="J41" s="19">
        <f>PRODUCT(VLOOKUP(D41,'DATA Multiplier Table'!$B$5:$C$8,2,FALSE),VLOOKUP(E41,'DATA Multiplier Table'!$B$9:$C$14,2,FALSE),VLOOKUP(F41,'DATA Multiplier Table'!$B$15:$C$18,2,FALSE),VLOOKUP(G41,'DATA Multiplier Table'!$B$19:$C$20,2,FALSE),VLOOKUP(H41,'DATA Multiplier Table'!$B$21:$C$22,2,FALSE),VLOOKUP(I41,'DATA Multiplier Table'!$B$23:$C$24,2,FALSE))</f>
        <v>1.9500000000000002</v>
      </c>
    </row>
    <row r="42" spans="1:10" x14ac:dyDescent="0.25">
      <c r="A42" s="21">
        <v>100040</v>
      </c>
      <c r="B42" s="41" t="s">
        <v>102</v>
      </c>
      <c r="C42" s="42" t="s">
        <v>58</v>
      </c>
      <c r="D42" s="42" t="s">
        <v>44</v>
      </c>
      <c r="E42" s="42" t="s">
        <v>34</v>
      </c>
      <c r="F42" s="42" t="s">
        <v>22</v>
      </c>
      <c r="G42" s="42" t="s">
        <v>35</v>
      </c>
      <c r="H42" s="42" t="s">
        <v>35</v>
      </c>
      <c r="I42" s="42" t="s">
        <v>35</v>
      </c>
      <c r="J42" s="19">
        <f>PRODUCT(VLOOKUP(D42,'DATA Multiplier Table'!$B$5:$C$8,2,FALSE),VLOOKUP(E42,'DATA Multiplier Table'!$B$9:$C$14,2,FALSE),VLOOKUP(F42,'DATA Multiplier Table'!$B$15:$C$18,2,FALSE),VLOOKUP(G42,'DATA Multiplier Table'!$B$19:$C$20,2,FALSE),VLOOKUP(H42,'DATA Multiplier Table'!$B$21:$C$22,2,FALSE),VLOOKUP(I42,'DATA Multiplier Table'!$B$23:$C$24,2,FALSE))</f>
        <v>0.35</v>
      </c>
    </row>
    <row r="43" spans="1:10" x14ac:dyDescent="0.25">
      <c r="A43" s="21">
        <v>100041</v>
      </c>
      <c r="B43" s="41" t="s">
        <v>103</v>
      </c>
      <c r="C43" s="42" t="s">
        <v>56</v>
      </c>
      <c r="D43" s="42">
        <v>3</v>
      </c>
      <c r="E43" s="42" t="s">
        <v>32</v>
      </c>
      <c r="F43" s="42" t="s">
        <v>26</v>
      </c>
      <c r="G43" s="42" t="s">
        <v>28</v>
      </c>
      <c r="H43" s="42" t="s">
        <v>28</v>
      </c>
      <c r="I43" s="42" t="s">
        <v>28</v>
      </c>
      <c r="J43" s="19">
        <f>PRODUCT(VLOOKUP(D43,'DATA Multiplier Table'!$B$5:$C$8,2,FALSE),VLOOKUP(E43,'DATA Multiplier Table'!$B$9:$C$14,2,FALSE),VLOOKUP(F43,'DATA Multiplier Table'!$B$15:$C$18,2,FALSE),VLOOKUP(G43,'DATA Multiplier Table'!$B$19:$C$20,2,FALSE),VLOOKUP(H43,'DATA Multiplier Table'!$B$21:$C$22,2,FALSE),VLOOKUP(I43,'DATA Multiplier Table'!$B$23:$C$24,2,FALSE))</f>
        <v>1.8876000000000004</v>
      </c>
    </row>
    <row r="44" spans="1:10" x14ac:dyDescent="0.25">
      <c r="A44" s="21">
        <v>100042</v>
      </c>
      <c r="B44" s="41" t="s">
        <v>104</v>
      </c>
      <c r="C44" s="42" t="s">
        <v>59</v>
      </c>
      <c r="D44" s="42">
        <v>3</v>
      </c>
      <c r="E44" s="42" t="s">
        <v>31</v>
      </c>
      <c r="F44" s="42" t="s">
        <v>26</v>
      </c>
      <c r="G44" s="42" t="s">
        <v>35</v>
      </c>
      <c r="H44" s="42" t="s">
        <v>35</v>
      </c>
      <c r="I44" s="42" t="s">
        <v>28</v>
      </c>
      <c r="J44" s="19">
        <f>PRODUCT(VLOOKUP(D44,'DATA Multiplier Table'!$B$5:$C$8,2,FALSE),VLOOKUP(E44,'DATA Multiplier Table'!$B$9:$C$14,2,FALSE),VLOOKUP(F44,'DATA Multiplier Table'!$B$15:$C$18,2,FALSE),VLOOKUP(G44,'DATA Multiplier Table'!$B$19:$C$20,2,FALSE),VLOOKUP(H44,'DATA Multiplier Table'!$B$21:$C$22,2,FALSE),VLOOKUP(I44,'DATA Multiplier Table'!$B$23:$C$24,2,FALSE))</f>
        <v>1.1000000000000001</v>
      </c>
    </row>
    <row r="45" spans="1:10" x14ac:dyDescent="0.25">
      <c r="A45" s="21">
        <v>100043</v>
      </c>
      <c r="B45" s="41" t="s">
        <v>105</v>
      </c>
      <c r="C45" s="42" t="s">
        <v>59</v>
      </c>
      <c r="D45" s="42">
        <v>1</v>
      </c>
      <c r="E45" s="42" t="s">
        <v>32</v>
      </c>
      <c r="F45" s="42" t="s">
        <v>26</v>
      </c>
      <c r="G45" s="42" t="s">
        <v>28</v>
      </c>
      <c r="H45" s="42" t="s">
        <v>28</v>
      </c>
      <c r="I45" s="42" t="s">
        <v>28</v>
      </c>
      <c r="J45" s="19">
        <f>PRODUCT(VLOOKUP(D45,'DATA Multiplier Table'!$B$5:$C$8,2,FALSE),VLOOKUP(E45,'DATA Multiplier Table'!$B$9:$C$14,2,FALSE),VLOOKUP(F45,'DATA Multiplier Table'!$B$15:$C$18,2,FALSE),VLOOKUP(G45,'DATA Multiplier Table'!$B$19:$C$20,2,FALSE),VLOOKUP(H45,'DATA Multiplier Table'!$B$21:$C$22,2,FALSE),VLOOKUP(I45,'DATA Multiplier Table'!$B$23:$C$24,2,FALSE))</f>
        <v>3.7752000000000008</v>
      </c>
    </row>
    <row r="46" spans="1:10" x14ac:dyDescent="0.25">
      <c r="A46" s="21">
        <v>100044</v>
      </c>
      <c r="B46" s="41" t="s">
        <v>106</v>
      </c>
      <c r="C46" s="42" t="s">
        <v>60</v>
      </c>
      <c r="D46" s="42">
        <v>3</v>
      </c>
      <c r="E46" s="42" t="s">
        <v>32</v>
      </c>
      <c r="F46" s="42" t="s">
        <v>26</v>
      </c>
      <c r="G46" s="42" t="s">
        <v>35</v>
      </c>
      <c r="H46" s="42" t="s">
        <v>35</v>
      </c>
      <c r="I46" s="42" t="s">
        <v>28</v>
      </c>
      <c r="J46" s="19">
        <f>PRODUCT(VLOOKUP(D46,'DATA Multiplier Table'!$B$5:$C$8,2,FALSE),VLOOKUP(E46,'DATA Multiplier Table'!$B$9:$C$14,2,FALSE),VLOOKUP(F46,'DATA Multiplier Table'!$B$15:$C$18,2,FALSE),VLOOKUP(G46,'DATA Multiplier Table'!$B$19:$C$20,2,FALSE),VLOOKUP(H46,'DATA Multiplier Table'!$B$21:$C$22,2,FALSE),VLOOKUP(I46,'DATA Multiplier Table'!$B$23:$C$24,2,FALSE))</f>
        <v>1.4300000000000002</v>
      </c>
    </row>
    <row r="47" spans="1:10" x14ac:dyDescent="0.25">
      <c r="A47" s="21">
        <v>100045</v>
      </c>
      <c r="B47" s="41" t="s">
        <v>107</v>
      </c>
      <c r="C47" s="42" t="s">
        <v>59</v>
      </c>
      <c r="D47" s="42">
        <v>1</v>
      </c>
      <c r="E47" s="42" t="s">
        <v>32</v>
      </c>
      <c r="F47" s="42" t="s">
        <v>22</v>
      </c>
      <c r="G47" s="42" t="s">
        <v>28</v>
      </c>
      <c r="H47" s="42" t="s">
        <v>35</v>
      </c>
      <c r="I47" s="42" t="s">
        <v>28</v>
      </c>
      <c r="J47" s="19">
        <f>PRODUCT(VLOOKUP(D47,'DATA Multiplier Table'!$B$5:$C$8,2,FALSE),VLOOKUP(E47,'DATA Multiplier Table'!$B$9:$C$14,2,FALSE),VLOOKUP(F47,'DATA Multiplier Table'!$B$15:$C$18,2,FALSE),VLOOKUP(G47,'DATA Multiplier Table'!$B$19:$C$20,2,FALSE),VLOOKUP(H47,'DATA Multiplier Table'!$B$21:$C$22,2,FALSE),VLOOKUP(I47,'DATA Multiplier Table'!$B$23:$C$24,2,FALSE))</f>
        <v>2.1839999999999997</v>
      </c>
    </row>
    <row r="48" spans="1:10" x14ac:dyDescent="0.25">
      <c r="A48" s="21">
        <v>100046</v>
      </c>
      <c r="B48" s="41" t="s">
        <v>108</v>
      </c>
      <c r="C48" s="42" t="s">
        <v>61</v>
      </c>
      <c r="D48" s="42">
        <v>1</v>
      </c>
      <c r="E48" s="42" t="s">
        <v>34</v>
      </c>
      <c r="F48" s="42" t="s">
        <v>22</v>
      </c>
      <c r="G48" s="42" t="s">
        <v>35</v>
      </c>
      <c r="H48" s="42" t="s">
        <v>35</v>
      </c>
      <c r="I48" s="42" t="s">
        <v>28</v>
      </c>
      <c r="J48" s="19">
        <f>PRODUCT(VLOOKUP(D48,'DATA Multiplier Table'!$B$5:$C$8,2,FALSE),VLOOKUP(E48,'DATA Multiplier Table'!$B$9:$C$14,2,FALSE),VLOOKUP(F48,'DATA Multiplier Table'!$B$15:$C$18,2,FALSE),VLOOKUP(G48,'DATA Multiplier Table'!$B$19:$C$20,2,FALSE),VLOOKUP(H48,'DATA Multiplier Table'!$B$21:$C$22,2,FALSE),VLOOKUP(I48,'DATA Multiplier Table'!$B$23:$C$24,2,FALSE))</f>
        <v>0.7</v>
      </c>
    </row>
    <row r="49" spans="1:10" x14ac:dyDescent="0.25">
      <c r="A49" s="21">
        <v>100047</v>
      </c>
      <c r="B49" s="41" t="s">
        <v>109</v>
      </c>
      <c r="C49" s="42" t="s">
        <v>59</v>
      </c>
      <c r="D49" s="42">
        <v>1</v>
      </c>
      <c r="E49" s="42" t="s">
        <v>34</v>
      </c>
      <c r="F49" s="42" t="s">
        <v>26</v>
      </c>
      <c r="G49" s="42" t="s">
        <v>28</v>
      </c>
      <c r="H49" s="42" t="s">
        <v>35</v>
      </c>
      <c r="I49" s="42" t="s">
        <v>28</v>
      </c>
      <c r="J49" s="19">
        <f>PRODUCT(VLOOKUP(D49,'DATA Multiplier Table'!$B$5:$C$8,2,FALSE),VLOOKUP(E49,'DATA Multiplier Table'!$B$9:$C$14,2,FALSE),VLOOKUP(F49,'DATA Multiplier Table'!$B$15:$C$18,2,FALSE),VLOOKUP(G49,'DATA Multiplier Table'!$B$19:$C$20,2,FALSE),VLOOKUP(H49,'DATA Multiplier Table'!$B$21:$C$22,2,FALSE),VLOOKUP(I49,'DATA Multiplier Table'!$B$23:$C$24,2,FALSE))</f>
        <v>1.32</v>
      </c>
    </row>
    <row r="50" spans="1:10" x14ac:dyDescent="0.25">
      <c r="A50" s="21">
        <v>100048</v>
      </c>
      <c r="B50" s="41" t="s">
        <v>110</v>
      </c>
      <c r="C50" s="42" t="s">
        <v>60</v>
      </c>
      <c r="D50" s="42">
        <v>3</v>
      </c>
      <c r="E50" s="42" t="s">
        <v>30</v>
      </c>
      <c r="F50" s="42" t="s">
        <v>26</v>
      </c>
      <c r="G50" s="42" t="s">
        <v>35</v>
      </c>
      <c r="H50" s="42" t="s">
        <v>35</v>
      </c>
      <c r="I50" s="42" t="s">
        <v>28</v>
      </c>
      <c r="J50" s="19">
        <f>PRODUCT(VLOOKUP(D50,'DATA Multiplier Table'!$B$5:$C$8,2,FALSE),VLOOKUP(E50,'DATA Multiplier Table'!$B$9:$C$14,2,FALSE),VLOOKUP(F50,'DATA Multiplier Table'!$B$15:$C$18,2,FALSE),VLOOKUP(G50,'DATA Multiplier Table'!$B$19:$C$20,2,FALSE),VLOOKUP(H50,'DATA Multiplier Table'!$B$21:$C$22,2,FALSE),VLOOKUP(I50,'DATA Multiplier Table'!$B$23:$C$24,2,FALSE))</f>
        <v>0.88000000000000012</v>
      </c>
    </row>
    <row r="51" spans="1:10" x14ac:dyDescent="0.25">
      <c r="A51" s="21">
        <v>100049</v>
      </c>
      <c r="B51" s="41" t="s">
        <v>111</v>
      </c>
      <c r="C51" s="42" t="s">
        <v>59</v>
      </c>
      <c r="D51" s="42">
        <v>1</v>
      </c>
      <c r="E51" s="42" t="s">
        <v>33</v>
      </c>
      <c r="F51" s="42" t="s">
        <v>23</v>
      </c>
      <c r="G51" s="42" t="s">
        <v>35</v>
      </c>
      <c r="H51" s="42" t="s">
        <v>28</v>
      </c>
      <c r="I51" s="42" t="s">
        <v>28</v>
      </c>
      <c r="J51" s="19">
        <f>PRODUCT(VLOOKUP(D51,'DATA Multiplier Table'!$B$5:$C$8,2,FALSE),VLOOKUP(E51,'DATA Multiplier Table'!$B$9:$C$14,2,FALSE),VLOOKUP(F51,'DATA Multiplier Table'!$B$15:$C$18,2,FALSE),VLOOKUP(G51,'DATA Multiplier Table'!$B$19:$C$20,2,FALSE),VLOOKUP(H51,'DATA Multiplier Table'!$B$21:$C$22,2,FALSE),VLOOKUP(I51,'DATA Multiplier Table'!$B$23:$C$24,2,FALSE))</f>
        <v>5.7200000000000006</v>
      </c>
    </row>
    <row r="52" spans="1:10" x14ac:dyDescent="0.25">
      <c r="A52" s="21">
        <v>100050</v>
      </c>
      <c r="B52" s="41" t="s">
        <v>112</v>
      </c>
      <c r="C52" s="42" t="s">
        <v>59</v>
      </c>
      <c r="D52" s="42">
        <v>2</v>
      </c>
      <c r="E52" s="42" t="s">
        <v>32</v>
      </c>
      <c r="F52" s="42" t="s">
        <v>23</v>
      </c>
      <c r="G52" s="42" t="s">
        <v>35</v>
      </c>
      <c r="H52" s="42" t="s">
        <v>35</v>
      </c>
      <c r="I52" s="42" t="s">
        <v>28</v>
      </c>
      <c r="J52" s="19">
        <f>PRODUCT(VLOOKUP(D52,'DATA Multiplier Table'!$B$5:$C$8,2,FALSE),VLOOKUP(E52,'DATA Multiplier Table'!$B$9:$C$14,2,FALSE),VLOOKUP(F52,'DATA Multiplier Table'!$B$15:$C$18,2,FALSE),VLOOKUP(G52,'DATA Multiplier Table'!$B$19:$C$20,2,FALSE),VLOOKUP(H52,'DATA Multiplier Table'!$B$21:$C$22,2,FALSE),VLOOKUP(I52,'DATA Multiplier Table'!$B$23:$C$24,2,FALSE))</f>
        <v>2.5350000000000001</v>
      </c>
    </row>
    <row r="53" spans="1:10" x14ac:dyDescent="0.25">
      <c r="A53" s="21">
        <v>100051</v>
      </c>
      <c r="B53" s="41" t="s">
        <v>113</v>
      </c>
      <c r="C53" s="42" t="s">
        <v>59</v>
      </c>
      <c r="D53" s="42">
        <v>3</v>
      </c>
      <c r="E53" s="42" t="s">
        <v>32</v>
      </c>
      <c r="F53" s="42" t="s">
        <v>26</v>
      </c>
      <c r="G53" s="42" t="s">
        <v>28</v>
      </c>
      <c r="H53" s="42" t="s">
        <v>28</v>
      </c>
      <c r="I53" s="42" t="s">
        <v>28</v>
      </c>
      <c r="J53" s="19">
        <f>PRODUCT(VLOOKUP(D53,'DATA Multiplier Table'!$B$5:$C$8,2,FALSE),VLOOKUP(E53,'DATA Multiplier Table'!$B$9:$C$14,2,FALSE),VLOOKUP(F53,'DATA Multiplier Table'!$B$15:$C$18,2,FALSE),VLOOKUP(G53,'DATA Multiplier Table'!$B$19:$C$20,2,FALSE),VLOOKUP(H53,'DATA Multiplier Table'!$B$21:$C$22,2,FALSE),VLOOKUP(I53,'DATA Multiplier Table'!$B$23:$C$24,2,FALSE))</f>
        <v>1.8876000000000004</v>
      </c>
    </row>
    <row r="54" spans="1:10" x14ac:dyDescent="0.25">
      <c r="A54" s="21">
        <v>100052</v>
      </c>
      <c r="B54" s="41" t="s">
        <v>114</v>
      </c>
      <c r="C54" s="42" t="s">
        <v>59</v>
      </c>
      <c r="D54" s="42">
        <v>3</v>
      </c>
      <c r="E54" s="42" t="s">
        <v>25</v>
      </c>
      <c r="F54" s="42" t="s">
        <v>26</v>
      </c>
      <c r="G54" s="42" t="s">
        <v>28</v>
      </c>
      <c r="H54" s="42" t="s">
        <v>28</v>
      </c>
      <c r="I54" s="42" t="s">
        <v>28</v>
      </c>
      <c r="J54" s="19">
        <f>PRODUCT(VLOOKUP(D54,'DATA Multiplier Table'!$B$5:$C$8,2,FALSE),VLOOKUP(E54,'DATA Multiplier Table'!$B$9:$C$14,2,FALSE),VLOOKUP(F54,'DATA Multiplier Table'!$B$15:$C$18,2,FALSE),VLOOKUP(G54,'DATA Multiplier Table'!$B$19:$C$20,2,FALSE),VLOOKUP(H54,'DATA Multiplier Table'!$B$21:$C$22,2,FALSE),VLOOKUP(I54,'DATA Multiplier Table'!$B$23:$C$24,2,FALSE))</f>
        <v>5.8080000000000007</v>
      </c>
    </row>
    <row r="55" spans="1:10" x14ac:dyDescent="0.25">
      <c r="A55" s="21">
        <v>100053</v>
      </c>
      <c r="B55" s="41" t="s">
        <v>115</v>
      </c>
      <c r="C55" s="42" t="s">
        <v>60</v>
      </c>
      <c r="D55" s="42">
        <v>3</v>
      </c>
      <c r="E55" s="42" t="s">
        <v>33</v>
      </c>
      <c r="F55" s="42" t="s">
        <v>23</v>
      </c>
      <c r="G55" s="42" t="s">
        <v>28</v>
      </c>
      <c r="H55" s="42" t="s">
        <v>28</v>
      </c>
      <c r="I55" s="42" t="s">
        <v>28</v>
      </c>
      <c r="J55" s="19">
        <f>PRODUCT(VLOOKUP(D55,'DATA Multiplier Table'!$B$5:$C$8,2,FALSE),VLOOKUP(E55,'DATA Multiplier Table'!$B$9:$C$14,2,FALSE),VLOOKUP(F55,'DATA Multiplier Table'!$B$15:$C$18,2,FALSE),VLOOKUP(G55,'DATA Multiplier Table'!$B$19:$C$20,2,FALSE),VLOOKUP(H55,'DATA Multiplier Table'!$B$21:$C$22,2,FALSE),VLOOKUP(I55,'DATA Multiplier Table'!$B$23:$C$24,2,FALSE))</f>
        <v>3.4320000000000004</v>
      </c>
    </row>
    <row r="56" spans="1:10" x14ac:dyDescent="0.25">
      <c r="A56" s="21">
        <v>100054</v>
      </c>
      <c r="B56" s="41" t="s">
        <v>116</v>
      </c>
      <c r="C56" s="42" t="s">
        <v>62</v>
      </c>
      <c r="D56" s="42">
        <v>3</v>
      </c>
      <c r="E56" s="42" t="s">
        <v>31</v>
      </c>
      <c r="F56" s="42" t="s">
        <v>27</v>
      </c>
      <c r="G56" s="42" t="s">
        <v>35</v>
      </c>
      <c r="H56" s="42" t="s">
        <v>28</v>
      </c>
      <c r="I56" s="42" t="s">
        <v>28</v>
      </c>
      <c r="J56" s="19">
        <f>PRODUCT(VLOOKUP(D56,'DATA Multiplier Table'!$B$5:$C$8,2,FALSE),VLOOKUP(E56,'DATA Multiplier Table'!$B$9:$C$14,2,FALSE),VLOOKUP(F56,'DATA Multiplier Table'!$B$15:$C$18,2,FALSE),VLOOKUP(G56,'DATA Multiplier Table'!$B$19:$C$20,2,FALSE),VLOOKUP(H56,'DATA Multiplier Table'!$B$21:$C$22,2,FALSE),VLOOKUP(I56,'DATA Multiplier Table'!$B$23:$C$24,2,FALSE))</f>
        <v>1.1000000000000001</v>
      </c>
    </row>
    <row r="57" spans="1:10" x14ac:dyDescent="0.25">
      <c r="A57" s="21">
        <v>100055</v>
      </c>
      <c r="B57" s="41" t="s">
        <v>117</v>
      </c>
      <c r="C57" s="42" t="s">
        <v>59</v>
      </c>
      <c r="D57" s="42">
        <v>2</v>
      </c>
      <c r="E57" s="42" t="s">
        <v>25</v>
      </c>
      <c r="F57" s="42" t="s">
        <v>23</v>
      </c>
      <c r="G57" s="42" t="s">
        <v>28</v>
      </c>
      <c r="H57" s="42" t="s">
        <v>35</v>
      </c>
      <c r="I57" s="42" t="s">
        <v>28</v>
      </c>
      <c r="J57" s="19">
        <f>PRODUCT(VLOOKUP(D57,'DATA Multiplier Table'!$B$5:$C$8,2,FALSE),VLOOKUP(E57,'DATA Multiplier Table'!$B$9:$C$14,2,FALSE),VLOOKUP(F57,'DATA Multiplier Table'!$B$15:$C$18,2,FALSE),VLOOKUP(G57,'DATA Multiplier Table'!$B$19:$C$20,2,FALSE),VLOOKUP(H57,'DATA Multiplier Table'!$B$21:$C$22,2,FALSE),VLOOKUP(I57,'DATA Multiplier Table'!$B$23:$C$24,2,FALSE))</f>
        <v>9.3600000000000012</v>
      </c>
    </row>
    <row r="58" spans="1:10" x14ac:dyDescent="0.25">
      <c r="A58" s="21">
        <v>100056</v>
      </c>
      <c r="B58" s="41" t="s">
        <v>118</v>
      </c>
      <c r="C58" s="42" t="s">
        <v>59</v>
      </c>
      <c r="D58" s="42">
        <v>3</v>
      </c>
      <c r="E58" s="42" t="s">
        <v>32</v>
      </c>
      <c r="F58" s="42" t="s">
        <v>23</v>
      </c>
      <c r="G58" s="42" t="s">
        <v>28</v>
      </c>
      <c r="H58" s="42" t="s">
        <v>28</v>
      </c>
      <c r="I58" s="42" t="s">
        <v>28</v>
      </c>
      <c r="J58" s="19">
        <f>PRODUCT(VLOOKUP(D58,'DATA Multiplier Table'!$B$5:$C$8,2,FALSE),VLOOKUP(E58,'DATA Multiplier Table'!$B$9:$C$14,2,FALSE),VLOOKUP(F58,'DATA Multiplier Table'!$B$15:$C$18,2,FALSE),VLOOKUP(G58,'DATA Multiplier Table'!$B$19:$C$20,2,FALSE),VLOOKUP(H58,'DATA Multiplier Table'!$B$21:$C$22,2,FALSE),VLOOKUP(I58,'DATA Multiplier Table'!$B$23:$C$24,2,FALSE))</f>
        <v>2.2308000000000003</v>
      </c>
    </row>
    <row r="59" spans="1:10" x14ac:dyDescent="0.25">
      <c r="A59" s="21">
        <v>100057</v>
      </c>
      <c r="B59" s="41" t="s">
        <v>119</v>
      </c>
      <c r="C59" s="42" t="s">
        <v>61</v>
      </c>
      <c r="D59" s="42">
        <v>2</v>
      </c>
      <c r="E59" s="42" t="s">
        <v>25</v>
      </c>
      <c r="F59" s="42" t="s">
        <v>23</v>
      </c>
      <c r="G59" s="42" t="s">
        <v>35</v>
      </c>
      <c r="H59" s="42" t="s">
        <v>28</v>
      </c>
      <c r="I59" s="42" t="s">
        <v>35</v>
      </c>
      <c r="J59" s="19">
        <f>PRODUCT(VLOOKUP(D59,'DATA Multiplier Table'!$B$5:$C$8,2,FALSE),VLOOKUP(E59,'DATA Multiplier Table'!$B$9:$C$14,2,FALSE),VLOOKUP(F59,'DATA Multiplier Table'!$B$15:$C$18,2,FALSE),VLOOKUP(G59,'DATA Multiplier Table'!$B$19:$C$20,2,FALSE),VLOOKUP(H59,'DATA Multiplier Table'!$B$21:$C$22,2,FALSE),VLOOKUP(I59,'DATA Multiplier Table'!$B$23:$C$24,2,FALSE))</f>
        <v>8.5800000000000018</v>
      </c>
    </row>
    <row r="60" spans="1:10" x14ac:dyDescent="0.25">
      <c r="A60" s="21">
        <v>100058</v>
      </c>
      <c r="B60" s="41" t="s">
        <v>120</v>
      </c>
      <c r="C60" s="42" t="s">
        <v>59</v>
      </c>
      <c r="D60" s="42">
        <v>3</v>
      </c>
      <c r="E60" s="42" t="s">
        <v>32</v>
      </c>
      <c r="F60" s="42" t="s">
        <v>26</v>
      </c>
      <c r="G60" s="42" t="s">
        <v>35</v>
      </c>
      <c r="H60" s="42" t="s">
        <v>28</v>
      </c>
      <c r="I60" s="42" t="s">
        <v>28</v>
      </c>
      <c r="J60" s="19">
        <f>PRODUCT(VLOOKUP(D60,'DATA Multiplier Table'!$B$5:$C$8,2,FALSE),VLOOKUP(E60,'DATA Multiplier Table'!$B$9:$C$14,2,FALSE),VLOOKUP(F60,'DATA Multiplier Table'!$B$15:$C$18,2,FALSE),VLOOKUP(G60,'DATA Multiplier Table'!$B$19:$C$20,2,FALSE),VLOOKUP(H60,'DATA Multiplier Table'!$B$21:$C$22,2,FALSE),VLOOKUP(I60,'DATA Multiplier Table'!$B$23:$C$24,2,FALSE))</f>
        <v>1.5730000000000004</v>
      </c>
    </row>
    <row r="61" spans="1:10" x14ac:dyDescent="0.25">
      <c r="A61" s="21">
        <v>100059</v>
      </c>
      <c r="B61" s="41" t="s">
        <v>121</v>
      </c>
      <c r="C61" s="41" t="s">
        <v>59</v>
      </c>
      <c r="D61" s="41">
        <v>3</v>
      </c>
      <c r="E61" s="41" t="s">
        <v>32</v>
      </c>
      <c r="F61" s="41" t="s">
        <v>26</v>
      </c>
      <c r="G61" s="41" t="s">
        <v>28</v>
      </c>
      <c r="H61" s="41" t="s">
        <v>35</v>
      </c>
      <c r="I61" s="41" t="s">
        <v>28</v>
      </c>
      <c r="J61" s="19">
        <f>PRODUCT(VLOOKUP(D61,'DATA Multiplier Table'!$B$5:$C$8,2,FALSE),VLOOKUP(E61,'DATA Multiplier Table'!$B$9:$C$14,2,FALSE),VLOOKUP(F61,'DATA Multiplier Table'!$B$15:$C$18,2,FALSE),VLOOKUP(G61,'DATA Multiplier Table'!$B$19:$C$20,2,FALSE),VLOOKUP(H61,'DATA Multiplier Table'!$B$21:$C$22,2,FALSE),VLOOKUP(I61,'DATA Multiplier Table'!$B$23:$C$24,2,FALSE))</f>
        <v>1.7160000000000002</v>
      </c>
    </row>
    <row r="62" spans="1:10" x14ac:dyDescent="0.25">
      <c r="A62" s="21">
        <v>100060</v>
      </c>
      <c r="B62" s="41" t="s">
        <v>122</v>
      </c>
      <c r="C62" s="20" t="s">
        <v>59</v>
      </c>
      <c r="D62" s="20">
        <v>3</v>
      </c>
      <c r="E62" s="20" t="s">
        <v>32</v>
      </c>
      <c r="F62" s="20" t="s">
        <v>23</v>
      </c>
      <c r="G62" s="20" t="s">
        <v>28</v>
      </c>
      <c r="H62" s="20" t="s">
        <v>28</v>
      </c>
      <c r="I62" s="20" t="s">
        <v>28</v>
      </c>
      <c r="J62" s="19">
        <f>PRODUCT(VLOOKUP(D62,'DATA Multiplier Table'!$B$5:$C$8,2,FALSE),VLOOKUP(E62,'DATA Multiplier Table'!$B$9:$C$14,2,FALSE),VLOOKUP(F62,'DATA Multiplier Table'!$B$15:$C$18,2,FALSE),VLOOKUP(G62,'DATA Multiplier Table'!$B$19:$C$20,2,FALSE),VLOOKUP(H62,'DATA Multiplier Table'!$B$21:$C$22,2,FALSE),VLOOKUP(I62,'DATA Multiplier Table'!$B$23:$C$24,2,FALSE))</f>
        <v>2.2308000000000003</v>
      </c>
    </row>
    <row r="63" spans="1:10" x14ac:dyDescent="0.25">
      <c r="A63" s="21">
        <v>100061</v>
      </c>
      <c r="B63" s="41" t="s">
        <v>123</v>
      </c>
      <c r="C63" s="21" t="s">
        <v>59</v>
      </c>
      <c r="D63" s="21">
        <v>2</v>
      </c>
      <c r="E63" s="21" t="s">
        <v>32</v>
      </c>
      <c r="F63" s="21" t="s">
        <v>26</v>
      </c>
      <c r="G63" s="21" t="s">
        <v>28</v>
      </c>
      <c r="H63" s="21" t="s">
        <v>35</v>
      </c>
      <c r="I63" s="21" t="s">
        <v>28</v>
      </c>
      <c r="J63" s="19">
        <f>PRODUCT(VLOOKUP(D63,'DATA Multiplier Table'!$B$5:$C$8,2,FALSE),VLOOKUP(E63,'DATA Multiplier Table'!$B$9:$C$14,2,FALSE),VLOOKUP(F63,'DATA Multiplier Table'!$B$15:$C$18,2,FALSE),VLOOKUP(G63,'DATA Multiplier Table'!$B$19:$C$20,2,FALSE),VLOOKUP(H63,'DATA Multiplier Table'!$B$21:$C$22,2,FALSE),VLOOKUP(I63,'DATA Multiplier Table'!$B$23:$C$24,2,FALSE))</f>
        <v>2.5740000000000003</v>
      </c>
    </row>
    <row r="64" spans="1:10" x14ac:dyDescent="0.25">
      <c r="A64" s="14">
        <v>100062</v>
      </c>
      <c r="B64" s="41" t="s">
        <v>124</v>
      </c>
      <c r="C64" s="14" t="s">
        <v>59</v>
      </c>
      <c r="D64" s="14">
        <v>3</v>
      </c>
      <c r="E64" s="14" t="s">
        <v>25</v>
      </c>
      <c r="F64" s="14" t="s">
        <v>26</v>
      </c>
      <c r="G64" s="14" t="s">
        <v>28</v>
      </c>
      <c r="H64" s="14" t="s">
        <v>28</v>
      </c>
      <c r="I64" s="14" t="s">
        <v>28</v>
      </c>
      <c r="J64" s="19">
        <f>PRODUCT(VLOOKUP(D64,'DATA Multiplier Table'!$B$5:$C$8,2,FALSE),VLOOKUP(E64,'DATA Multiplier Table'!$B$9:$C$14,2,FALSE),VLOOKUP(F64,'DATA Multiplier Table'!$B$15:$C$18,2,FALSE),VLOOKUP(G64,'DATA Multiplier Table'!$B$19:$C$20,2,FALSE),VLOOKUP(H64,'DATA Multiplier Table'!$B$21:$C$22,2,FALSE),VLOOKUP(I64,'DATA Multiplier Table'!$B$23:$C$24,2,FALSE))</f>
        <v>5.8080000000000007</v>
      </c>
    </row>
  </sheetData>
  <mergeCells count="1">
    <mergeCell ref="A1:J1"/>
  </mergeCells>
  <phoneticPr fontId="15" type="noConversion"/>
  <conditionalFormatting sqref="A1 A2:J1048576">
    <cfRule type="notContainsBlanks" dxfId="2" priority="1">
      <formula>LEN(TRIM(A1))&gt;0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8DD5-26C7-4E62-BFCC-4B7B31BA88B5}">
  <sheetPr codeName="Sheet1">
    <tabColor rgb="FF0070C0"/>
  </sheetPr>
  <dimension ref="B1:E44"/>
  <sheetViews>
    <sheetView showGridLines="0" zoomScaleNormal="100" workbookViewId="0">
      <selection activeCell="W35" sqref="W35"/>
    </sheetView>
  </sheetViews>
  <sheetFormatPr defaultRowHeight="15" x14ac:dyDescent="0.25"/>
  <cols>
    <col min="1" max="1" width="20.7109375" customWidth="1"/>
    <col min="2" max="2" width="6.28515625" customWidth="1"/>
    <col min="3" max="3" width="42.5703125" style="4" customWidth="1"/>
    <col min="4" max="4" width="31.140625" customWidth="1"/>
    <col min="5" max="5" width="7.140625" customWidth="1"/>
    <col min="13" max="13" width="9.140625" customWidth="1"/>
  </cols>
  <sheetData>
    <row r="1" spans="2:5" ht="46.5" customHeight="1" thickBot="1" x14ac:dyDescent="0.3"/>
    <row r="2" spans="2:5" ht="15" customHeight="1" x14ac:dyDescent="0.25">
      <c r="B2" s="50" t="s">
        <v>14</v>
      </c>
      <c r="C2" s="51"/>
      <c r="D2" s="51"/>
      <c r="E2" s="52"/>
    </row>
    <row r="3" spans="2:5" ht="15" customHeight="1" thickBot="1" x14ac:dyDescent="0.3">
      <c r="B3" s="53"/>
      <c r="C3" s="54"/>
      <c r="D3" s="54"/>
      <c r="E3" s="55"/>
    </row>
    <row r="4" spans="2:5" ht="15.75" customHeight="1" x14ac:dyDescent="0.25">
      <c r="B4" s="5"/>
      <c r="C4" s="6"/>
      <c r="D4" s="8"/>
      <c r="E4" s="9"/>
    </row>
    <row r="5" spans="2:5" ht="23.25" x14ac:dyDescent="0.25">
      <c r="B5" s="5"/>
      <c r="C5" s="7" t="s">
        <v>15</v>
      </c>
      <c r="D5" s="24"/>
      <c r="E5" s="9"/>
    </row>
    <row r="6" spans="2:5" ht="9" customHeight="1" x14ac:dyDescent="0.25">
      <c r="B6" s="5"/>
      <c r="C6" s="6"/>
      <c r="D6" s="8"/>
      <c r="E6" s="9"/>
    </row>
    <row r="7" spans="2:5" ht="23.25" x14ac:dyDescent="0.25">
      <c r="B7" s="5"/>
      <c r="C7" s="7" t="s">
        <v>16</v>
      </c>
      <c r="D7" s="43"/>
      <c r="E7" s="9"/>
    </row>
    <row r="8" spans="2:5" ht="9" customHeight="1" x14ac:dyDescent="0.25">
      <c r="B8" s="5"/>
      <c r="C8" s="6"/>
      <c r="D8" s="8"/>
      <c r="E8" s="9"/>
    </row>
    <row r="9" spans="2:5" ht="23.25" x14ac:dyDescent="0.25">
      <c r="B9" s="5"/>
      <c r="C9" s="7" t="s">
        <v>17</v>
      </c>
      <c r="D9" s="43"/>
      <c r="E9" s="9"/>
    </row>
    <row r="10" spans="2:5" ht="9" customHeight="1" x14ac:dyDescent="0.25">
      <c r="B10" s="5"/>
      <c r="C10" s="6"/>
      <c r="D10" s="8"/>
      <c r="E10" s="9"/>
    </row>
    <row r="11" spans="2:5" ht="27.75" customHeight="1" x14ac:dyDescent="0.25">
      <c r="B11" s="5"/>
      <c r="C11" s="7" t="s">
        <v>18</v>
      </c>
      <c r="D11" s="24"/>
      <c r="E11" s="9"/>
    </row>
    <row r="12" spans="2:5" ht="9" customHeight="1" x14ac:dyDescent="0.25">
      <c r="B12" s="5"/>
      <c r="C12" s="6"/>
      <c r="D12" s="8"/>
      <c r="E12" s="9"/>
    </row>
    <row r="13" spans="2:5" ht="23.25" x14ac:dyDescent="0.25">
      <c r="B13" s="5"/>
      <c r="C13" s="7" t="s">
        <v>19</v>
      </c>
      <c r="D13" s="24"/>
      <c r="E13" s="9"/>
    </row>
    <row r="14" spans="2:5" ht="9" customHeight="1" x14ac:dyDescent="0.25">
      <c r="B14" s="5"/>
      <c r="C14" s="6"/>
      <c r="D14" s="8"/>
      <c r="E14" s="9"/>
    </row>
    <row r="15" spans="2:5" ht="54.75" customHeight="1" x14ac:dyDescent="0.25">
      <c r="B15" s="5"/>
      <c r="C15" s="7" t="s">
        <v>20</v>
      </c>
      <c r="D15" s="25"/>
      <c r="E15" s="9"/>
    </row>
    <row r="16" spans="2:5" ht="9" customHeight="1" x14ac:dyDescent="0.25">
      <c r="B16" s="5"/>
      <c r="C16" s="6"/>
      <c r="D16" s="8"/>
      <c r="E16" s="9"/>
    </row>
    <row r="17" spans="2:5" ht="23.25" x14ac:dyDescent="0.25">
      <c r="B17" s="5"/>
      <c r="C17" s="7" t="s">
        <v>8</v>
      </c>
      <c r="D17" s="24"/>
      <c r="E17" s="9"/>
    </row>
    <row r="18" spans="2:5" ht="9" customHeight="1" x14ac:dyDescent="0.25">
      <c r="B18" s="5"/>
      <c r="C18" s="6"/>
      <c r="D18" s="8"/>
      <c r="E18" s="9"/>
    </row>
    <row r="19" spans="2:5" ht="23.25" x14ac:dyDescent="0.25">
      <c r="B19" s="5"/>
      <c r="C19" s="7" t="s">
        <v>9</v>
      </c>
      <c r="D19" s="24"/>
      <c r="E19" s="9"/>
    </row>
    <row r="20" spans="2:5" ht="9" customHeight="1" x14ac:dyDescent="0.25">
      <c r="B20" s="5"/>
      <c r="C20" s="6"/>
      <c r="D20" s="8"/>
      <c r="E20" s="9"/>
    </row>
    <row r="21" spans="2:5" ht="23.25" x14ac:dyDescent="0.25">
      <c r="B21" s="5"/>
      <c r="C21" s="7" t="s">
        <v>21</v>
      </c>
      <c r="D21" s="24"/>
      <c r="E21" s="9"/>
    </row>
    <row r="22" spans="2:5" ht="9" customHeight="1" x14ac:dyDescent="0.25">
      <c r="B22" s="5"/>
      <c r="C22" s="6"/>
      <c r="D22" s="8"/>
      <c r="E22" s="9"/>
    </row>
    <row r="23" spans="2:5" ht="50.25" customHeight="1" thickBot="1" x14ac:dyDescent="0.3">
      <c r="B23" s="56"/>
      <c r="C23" s="57"/>
      <c r="D23" s="57"/>
      <c r="E23" s="58"/>
    </row>
    <row r="29" spans="2:5" x14ac:dyDescent="0.25">
      <c r="B29" s="59" t="s">
        <v>15</v>
      </c>
      <c r="C29" s="59"/>
      <c r="D29" s="15">
        <f>$D$5</f>
        <v>0</v>
      </c>
      <c r="E29" s="22"/>
    </row>
    <row r="30" spans="2:5" x14ac:dyDescent="0.25">
      <c r="B30" s="59" t="s">
        <v>16</v>
      </c>
      <c r="C30" s="59"/>
      <c r="D30" s="15">
        <f>$D$7</f>
        <v>0</v>
      </c>
      <c r="E30" s="22"/>
    </row>
    <row r="31" spans="2:5" x14ac:dyDescent="0.25">
      <c r="B31" s="59" t="s">
        <v>17</v>
      </c>
      <c r="C31" s="59"/>
      <c r="D31" s="15">
        <f>$D$9</f>
        <v>0</v>
      </c>
      <c r="E31" s="22"/>
    </row>
    <row r="32" spans="2:5" x14ac:dyDescent="0.25">
      <c r="B32" s="59" t="s">
        <v>18</v>
      </c>
      <c r="C32" s="59"/>
      <c r="D32" s="15">
        <f>$D$11</f>
        <v>0</v>
      </c>
      <c r="E32" s="22"/>
    </row>
    <row r="33" spans="2:5" x14ac:dyDescent="0.25">
      <c r="B33" s="59" t="s">
        <v>19</v>
      </c>
      <c r="C33" s="59"/>
      <c r="D33" s="15">
        <f>$D$13</f>
        <v>0</v>
      </c>
      <c r="E33" s="22"/>
    </row>
    <row r="34" spans="2:5" x14ac:dyDescent="0.25">
      <c r="B34" s="59" t="s">
        <v>20</v>
      </c>
      <c r="C34" s="59"/>
      <c r="D34" s="15">
        <f>$D$15</f>
        <v>0</v>
      </c>
      <c r="E34" s="22"/>
    </row>
    <row r="35" spans="2:5" x14ac:dyDescent="0.25">
      <c r="B35" s="59" t="s">
        <v>8</v>
      </c>
      <c r="C35" s="59"/>
      <c r="D35" s="15">
        <f>$D$17</f>
        <v>0</v>
      </c>
      <c r="E35" s="22"/>
    </row>
    <row r="36" spans="2:5" x14ac:dyDescent="0.25">
      <c r="B36" s="59" t="s">
        <v>9</v>
      </c>
      <c r="C36" s="59"/>
      <c r="D36" s="15">
        <f>$D$19</f>
        <v>0</v>
      </c>
      <c r="E36" s="22"/>
    </row>
    <row r="37" spans="2:5" x14ac:dyDescent="0.25">
      <c r="B37" s="59" t="s">
        <v>21</v>
      </c>
      <c r="C37" s="59"/>
      <c r="D37" s="15">
        <f>$D$21</f>
        <v>0</v>
      </c>
      <c r="E37" s="22"/>
    </row>
    <row r="38" spans="2:5" x14ac:dyDescent="0.25">
      <c r="B38" s="22"/>
      <c r="C38" s="23"/>
      <c r="D38" s="22"/>
      <c r="E38" s="22"/>
    </row>
    <row r="39" spans="2:5" x14ac:dyDescent="0.25">
      <c r="B39" s="22"/>
      <c r="C39" s="23"/>
      <c r="D39" s="22"/>
      <c r="E39" s="22"/>
    </row>
    <row r="40" spans="2:5" x14ac:dyDescent="0.25">
      <c r="B40" s="22"/>
      <c r="C40" s="23"/>
      <c r="D40" s="22"/>
      <c r="E40" s="22"/>
    </row>
    <row r="41" spans="2:5" x14ac:dyDescent="0.25">
      <c r="B41" s="22"/>
      <c r="C41" s="23"/>
      <c r="D41" s="22"/>
      <c r="E41" s="22"/>
    </row>
    <row r="42" spans="2:5" x14ac:dyDescent="0.25">
      <c r="B42" s="22"/>
      <c r="C42" s="23"/>
      <c r="D42" s="22"/>
      <c r="E42" s="22"/>
    </row>
    <row r="43" spans="2:5" x14ac:dyDescent="0.25">
      <c r="B43" s="22"/>
      <c r="C43" s="23"/>
      <c r="D43" s="22"/>
      <c r="E43" s="22"/>
    </row>
    <row r="44" spans="2:5" x14ac:dyDescent="0.25">
      <c r="B44" s="22"/>
      <c r="C44" s="23"/>
      <c r="D44" s="22"/>
      <c r="E44" s="22"/>
    </row>
  </sheetData>
  <sheetProtection algorithmName="SHA-512" hashValue="X4DyuhtcXrkWgXTrgwU4ZZbS2ypL96Mod4hei4mxRa0InnCUfrDUoEUg8Vjg836YIkCCntm5J35COP+cV3E1ww==" saltValue="EMCk0RZd4rzOWJUSBTgBhg==" spinCount="100000" sheet="1" objects="1" scenarios="1"/>
  <mergeCells count="11">
    <mergeCell ref="B37:C37"/>
    <mergeCell ref="B29:C29"/>
    <mergeCell ref="B30:C30"/>
    <mergeCell ref="B31:C31"/>
    <mergeCell ref="B32:C32"/>
    <mergeCell ref="B33:C33"/>
    <mergeCell ref="B2:E3"/>
    <mergeCell ref="B23:E23"/>
    <mergeCell ref="B34:C34"/>
    <mergeCell ref="B35:C35"/>
    <mergeCell ref="B36:C36"/>
  </mergeCells>
  <conditionalFormatting sqref="D7">
    <cfRule type="notContainsBlanks" dxfId="1" priority="2">
      <formula>LEN(TRIM(D7))&gt;0</formula>
    </cfRule>
  </conditionalFormatting>
  <conditionalFormatting sqref="D9">
    <cfRule type="notContainsBlanks" dxfId="0" priority="1">
      <formula>LEN(TRIM(D9))&gt;0</formula>
    </cfRule>
  </conditionalFormatting>
  <dataValidations count="5">
    <dataValidation type="whole" allowBlank="1" showInputMessage="1" showErrorMessage="1" errorTitle="Invalid IRB Number" error="Please double check IRB number is listed correctly" sqref="D5" xr:uid="{FA9519E1-4856-4793-AD4E-9B4BBFDB4194}">
      <formula1>99999</formula1>
      <formula2>1000000</formula2>
    </dataValidation>
    <dataValidation type="list" allowBlank="1" showInputMessage="1" showErrorMessage="1" error="Please select an option from the dropdown menu." sqref="D13" xr:uid="{8475D0A5-DDE7-4EF8-B84D-B57879B05B4C}">
      <formula1>"Once, QW, Q2W, Q3W, Q4W, Q5W+"</formula1>
    </dataValidation>
    <dataValidation type="list" allowBlank="1" showInputMessage="1" showErrorMessage="1" error="Please select an option from the dropdown menu." sqref="D15" xr:uid="{691D3379-BAF0-49DB-B09A-5ECF5F5C51CE}">
      <formula1>"Images do not need to be uploaded, 0-6, 7-12, 13+"</formula1>
    </dataValidation>
    <dataValidation type="list" allowBlank="1" showInputMessage="1" showErrorMessage="1" error="Please select an option from the dropdown menu." sqref="D11" xr:uid="{21567D87-0E88-4BEE-878E-0E048E44609B}">
      <formula1>"1,2,3, N/A"</formula1>
    </dataValidation>
    <dataValidation type="list" allowBlank="1" showInputMessage="1" showErrorMessage="1" error="Please select an option from the dropdown menu." sqref="D17 D21 D19" xr:uid="{07684EAB-D098-474E-A544-AFB4C49BD34A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addStudyEntry" altText="">
                <anchor moveWithCells="1" sizeWithCells="1">
                  <from>
                    <xdr:col>2</xdr:col>
                    <xdr:colOff>1485900</xdr:colOff>
                    <xdr:row>22</xdr:row>
                    <xdr:rowOff>95250</xdr:rowOff>
                  </from>
                  <to>
                    <xdr:col>3</xdr:col>
                    <xdr:colOff>533400</xdr:colOff>
                    <xdr:row>22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274B0-05E9-4D68-A904-DA0B802AE68B}">
  <sheetPr codeName="Sheet6">
    <tabColor theme="3" tint="0.59999389629810485"/>
  </sheetPr>
  <dimension ref="B1:F61"/>
  <sheetViews>
    <sheetView showGridLines="0" zoomScaleNormal="100" workbookViewId="0">
      <selection activeCell="L8" sqref="L8"/>
    </sheetView>
  </sheetViews>
  <sheetFormatPr defaultColWidth="30.7109375" defaultRowHeight="15" x14ac:dyDescent="0.25"/>
  <cols>
    <col min="1" max="1" width="20.7109375" style="12" customWidth="1"/>
    <col min="2" max="4" width="30.7109375" style="12"/>
    <col min="5" max="5" width="5.28515625" style="12" customWidth="1"/>
    <col min="6" max="6" width="24.140625" style="12" customWidth="1"/>
    <col min="7" max="16384" width="30.7109375" style="12"/>
  </cols>
  <sheetData>
    <row r="1" spans="2:6" ht="15.75" thickBot="1" x14ac:dyDescent="0.3"/>
    <row r="2" spans="2:6" ht="62.25" customHeight="1" x14ac:dyDescent="0.25">
      <c r="B2" s="65" t="s">
        <v>36</v>
      </c>
      <c r="C2" s="66"/>
      <c r="D2" s="67"/>
    </row>
    <row r="3" spans="2:6" ht="30" customHeight="1" x14ac:dyDescent="0.25">
      <c r="B3" s="29" t="s">
        <v>40</v>
      </c>
      <c r="C3" s="68" t="s">
        <v>45</v>
      </c>
      <c r="D3" s="64"/>
      <c r="F3"/>
    </row>
    <row r="4" spans="2:6" ht="30" customHeight="1" x14ac:dyDescent="0.25">
      <c r="B4" s="29" t="s">
        <v>125</v>
      </c>
      <c r="C4" s="63" t="s">
        <v>127</v>
      </c>
      <c r="D4" s="64"/>
      <c r="F4"/>
    </row>
    <row r="5" spans="2:6" ht="8.1" customHeight="1" x14ac:dyDescent="0.25">
      <c r="B5" s="72"/>
      <c r="C5" s="73"/>
      <c r="D5" s="74"/>
      <c r="F5"/>
    </row>
    <row r="6" spans="2:6" ht="72" customHeight="1" x14ac:dyDescent="0.25">
      <c r="B6" s="30">
        <f>COUNTA($B$11:$B$61)</f>
        <v>21</v>
      </c>
      <c r="C6" s="31">
        <f ca="1">SUM($C$11:$C$61)</f>
        <v>94</v>
      </c>
      <c r="D6" s="32">
        <f ca="1">SUM($D$11:$D$61)</f>
        <v>271.04940000000011</v>
      </c>
      <c r="F6"/>
    </row>
    <row r="7" spans="2:6" ht="42.75" customHeight="1" x14ac:dyDescent="0.25">
      <c r="B7" s="26" t="s">
        <v>37</v>
      </c>
      <c r="C7" s="27" t="s">
        <v>39</v>
      </c>
      <c r="D7" s="28" t="s">
        <v>42</v>
      </c>
      <c r="F7"/>
    </row>
    <row r="8" spans="2:6" ht="60" customHeight="1" x14ac:dyDescent="0.25">
      <c r="B8" s="60" t="s">
        <v>126</v>
      </c>
      <c r="C8" s="61"/>
      <c r="D8" s="62"/>
      <c r="F8" s="44"/>
    </row>
    <row r="9" spans="2:6" ht="26.25" customHeight="1" x14ac:dyDescent="0.25">
      <c r="B9" s="69" t="s">
        <v>41</v>
      </c>
      <c r="C9" s="70"/>
      <c r="D9" s="71"/>
      <c r="F9" s="44"/>
    </row>
    <row r="10" spans="2:6" x14ac:dyDescent="0.25">
      <c r="B10" s="33" t="s">
        <v>0</v>
      </c>
      <c r="C10" s="34" t="s">
        <v>43</v>
      </c>
      <c r="D10" s="35" t="s">
        <v>38</v>
      </c>
      <c r="F10" s="44"/>
    </row>
    <row r="11" spans="2:6" x14ac:dyDescent="0.25">
      <c r="B11" s="36">
        <v>100062</v>
      </c>
      <c r="C11" s="37">
        <f t="shared" ref="C11" ca="1" si="0" xml:space="preserve"> RANDBETWEEN(0,10)</f>
        <v>7</v>
      </c>
      <c r="D11" s="40">
        <f ca="1">IF(B11 = "", "", PRODUCT(C11,VLOOKUP(B11,'Data Study List'!$A$3:$J$200,10,FALSE)))</f>
        <v>40.656000000000006</v>
      </c>
      <c r="F11" s="44"/>
    </row>
    <row r="12" spans="2:6" x14ac:dyDescent="0.25">
      <c r="B12" s="36">
        <v>100061</v>
      </c>
      <c r="C12" s="37">
        <f t="shared" ref="C12:C31" ca="1" si="1" xml:space="preserve"> RANDBETWEEN(0,10)</f>
        <v>5</v>
      </c>
      <c r="D12" s="40">
        <f ca="1">IF(B12 = "", "", PRODUCT(C12,VLOOKUP(B12,'Data Study List'!$A$3:$J$200,10,FALSE)))</f>
        <v>12.870000000000001</v>
      </c>
      <c r="F12" s="44"/>
    </row>
    <row r="13" spans="2:6" x14ac:dyDescent="0.25">
      <c r="B13" s="36">
        <v>100058</v>
      </c>
      <c r="C13" s="37">
        <f t="shared" ca="1" si="1"/>
        <v>6</v>
      </c>
      <c r="D13" s="40">
        <f ca="1">IF(B13 = "", "", PRODUCT(C13,VLOOKUP(B13,'Data Study List'!$A$3:$J$200,10,FALSE)))</f>
        <v>9.4380000000000024</v>
      </c>
      <c r="F13" s="44"/>
    </row>
    <row r="14" spans="2:6" x14ac:dyDescent="0.25">
      <c r="B14" s="36">
        <v>100057</v>
      </c>
      <c r="C14" s="37">
        <f t="shared" ca="1" si="1"/>
        <v>3</v>
      </c>
      <c r="D14" s="40">
        <f ca="1">IF(B14 = "", "", PRODUCT(C14,VLOOKUP(B14,'Data Study List'!$A$3:$J$200,10,FALSE)))</f>
        <v>25.740000000000006</v>
      </c>
      <c r="F14" s="44"/>
    </row>
    <row r="15" spans="2:6" x14ac:dyDescent="0.25">
      <c r="B15" s="36">
        <v>100056</v>
      </c>
      <c r="C15" s="37">
        <f t="shared" ca="1" si="1"/>
        <v>3</v>
      </c>
      <c r="D15" s="40">
        <f ca="1">IF(B15 = "", "", PRODUCT(C15,VLOOKUP(B15,'Data Study List'!$A$3:$J$200,10,FALSE)))</f>
        <v>6.692400000000001</v>
      </c>
      <c r="F15" s="44"/>
    </row>
    <row r="16" spans="2:6" x14ac:dyDescent="0.25">
      <c r="B16" s="36">
        <v>100055</v>
      </c>
      <c r="C16" s="37">
        <f t="shared" ca="1" si="1"/>
        <v>2</v>
      </c>
      <c r="D16" s="40">
        <f ca="1">IF(B16 = "", "", PRODUCT(C16,VLOOKUP(B16,'Data Study List'!$A$3:$J$200,10,FALSE)))</f>
        <v>18.720000000000002</v>
      </c>
      <c r="F16" s="44"/>
    </row>
    <row r="17" spans="2:6" x14ac:dyDescent="0.25">
      <c r="B17" s="36">
        <v>100054</v>
      </c>
      <c r="C17" s="37">
        <f t="shared" ca="1" si="1"/>
        <v>4</v>
      </c>
      <c r="D17" s="40">
        <f ca="1">IF(B17 = "", "", PRODUCT(C17,VLOOKUP(B17,'Data Study List'!$A$3:$J$200,10,FALSE)))</f>
        <v>4.4000000000000004</v>
      </c>
      <c r="F17" s="44"/>
    </row>
    <row r="18" spans="2:6" x14ac:dyDescent="0.25">
      <c r="B18" s="36">
        <v>100053</v>
      </c>
      <c r="C18" s="37">
        <f t="shared" ca="1" si="1"/>
        <v>9</v>
      </c>
      <c r="D18" s="40">
        <f ca="1">IF(B18 = "", "", PRODUCT(C18,VLOOKUP(B18,'Data Study List'!$A$3:$J$200,10,FALSE)))</f>
        <v>30.888000000000005</v>
      </c>
      <c r="F18" s="44"/>
    </row>
    <row r="19" spans="2:6" x14ac:dyDescent="0.25">
      <c r="B19" s="36">
        <v>100052</v>
      </c>
      <c r="C19" s="37">
        <f t="shared" ca="1" si="1"/>
        <v>0</v>
      </c>
      <c r="D19" s="40">
        <f ca="1">IF(B19 = "", "", PRODUCT(C19,VLOOKUP(B19,'Data Study List'!$A$3:$J$200,10,FALSE)))</f>
        <v>0</v>
      </c>
      <c r="F19" s="44"/>
    </row>
    <row r="20" spans="2:6" x14ac:dyDescent="0.25">
      <c r="B20" s="36">
        <v>100051</v>
      </c>
      <c r="C20" s="37">
        <f t="shared" ca="1" si="1"/>
        <v>5</v>
      </c>
      <c r="D20" s="40">
        <f ca="1">IF(B20 = "", "", PRODUCT(C20,VLOOKUP(B20,'Data Study List'!$A$3:$J$200,10,FALSE)))</f>
        <v>9.4380000000000024</v>
      </c>
      <c r="F20" s="44"/>
    </row>
    <row r="21" spans="2:6" x14ac:dyDescent="0.25">
      <c r="B21" s="36">
        <v>100050</v>
      </c>
      <c r="C21" s="37">
        <f t="shared" ca="1" si="1"/>
        <v>3</v>
      </c>
      <c r="D21" s="40">
        <f ca="1">IF(B21 = "", "", PRODUCT(C21,VLOOKUP(B21,'Data Study List'!$A$3:$J$200,10,FALSE)))</f>
        <v>7.6050000000000004</v>
      </c>
      <c r="F21" s="44"/>
    </row>
    <row r="22" spans="2:6" x14ac:dyDescent="0.25">
      <c r="B22" s="36">
        <v>100049</v>
      </c>
      <c r="C22" s="37">
        <f t="shared" ca="1" si="1"/>
        <v>4</v>
      </c>
      <c r="D22" s="40">
        <f ca="1">IF(B22 = "", "", PRODUCT(C22,VLOOKUP(B22,'Data Study List'!$A$3:$J$200,10,FALSE)))</f>
        <v>22.880000000000003</v>
      </c>
    </row>
    <row r="23" spans="2:6" x14ac:dyDescent="0.25">
      <c r="B23" s="36">
        <v>100048</v>
      </c>
      <c r="C23" s="37">
        <f t="shared" ca="1" si="1"/>
        <v>6</v>
      </c>
      <c r="D23" s="40">
        <f ca="1">IF(B23 = "", "", PRODUCT(C23,VLOOKUP(B23,'Data Study List'!$A$3:$J$200,10,FALSE)))</f>
        <v>5.2800000000000011</v>
      </c>
    </row>
    <row r="24" spans="2:6" x14ac:dyDescent="0.25">
      <c r="B24" s="36">
        <v>100047</v>
      </c>
      <c r="C24" s="37">
        <f t="shared" ca="1" si="1"/>
        <v>7</v>
      </c>
      <c r="D24" s="40">
        <f ca="1">IF(B24 = "", "", PRODUCT(C24,VLOOKUP(B24,'Data Study List'!$A$3:$J$200,10,FALSE)))</f>
        <v>9.24</v>
      </c>
    </row>
    <row r="25" spans="2:6" x14ac:dyDescent="0.25">
      <c r="B25" s="36">
        <v>100046</v>
      </c>
      <c r="C25" s="37">
        <f t="shared" ca="1" si="1"/>
        <v>8</v>
      </c>
      <c r="D25" s="40">
        <f ca="1">IF(B25 = "", "", PRODUCT(C25,VLOOKUP(B25,'Data Study List'!$A$3:$J$200,10,FALSE)))</f>
        <v>5.6</v>
      </c>
    </row>
    <row r="26" spans="2:6" x14ac:dyDescent="0.25">
      <c r="B26" s="36">
        <v>100045</v>
      </c>
      <c r="C26" s="37">
        <f t="shared" ca="1" si="1"/>
        <v>4</v>
      </c>
      <c r="D26" s="40">
        <f ca="1">IF(B26 = "", "", PRODUCT(C26,VLOOKUP(B26,'Data Study List'!$A$3:$J$200,10,FALSE)))</f>
        <v>8.7359999999999989</v>
      </c>
    </row>
    <row r="27" spans="2:6" x14ac:dyDescent="0.25">
      <c r="B27" s="36">
        <v>100044</v>
      </c>
      <c r="C27" s="37">
        <f t="shared" ca="1" si="1"/>
        <v>2</v>
      </c>
      <c r="D27" s="40">
        <f ca="1">IF(B27 = "", "", PRODUCT(C27,VLOOKUP(B27,'Data Study List'!$A$3:$J$200,10,FALSE)))</f>
        <v>2.8600000000000003</v>
      </c>
    </row>
    <row r="28" spans="2:6" x14ac:dyDescent="0.25">
      <c r="B28" s="36">
        <v>100043</v>
      </c>
      <c r="C28" s="37">
        <f t="shared" ca="1" si="1"/>
        <v>10</v>
      </c>
      <c r="D28" s="40">
        <f ca="1">IF(B28 = "", "", PRODUCT(C28,VLOOKUP(B28,'Data Study List'!$A$3:$J$200,10,FALSE)))</f>
        <v>37.75200000000001</v>
      </c>
    </row>
    <row r="29" spans="2:6" x14ac:dyDescent="0.25">
      <c r="B29" s="36">
        <v>100042</v>
      </c>
      <c r="C29" s="37">
        <f t="shared" ca="1" si="1"/>
        <v>1</v>
      </c>
      <c r="D29" s="40">
        <f ca="1">IF(B29 = "", "", PRODUCT(C29,VLOOKUP(B29,'Data Study List'!$A$3:$J$200,10,FALSE)))</f>
        <v>1.1000000000000001</v>
      </c>
    </row>
    <row r="30" spans="2:6" x14ac:dyDescent="0.25">
      <c r="B30" s="36">
        <v>100060</v>
      </c>
      <c r="C30" s="37">
        <f t="shared" ca="1" si="1"/>
        <v>5</v>
      </c>
      <c r="D30" s="40">
        <f ca="1">IF(B30 = "", "", PRODUCT(C30,VLOOKUP(B30,'Data Study List'!$A$3:$J$200,10,FALSE)))</f>
        <v>11.154000000000002</v>
      </c>
    </row>
    <row r="31" spans="2:6" x14ac:dyDescent="0.25">
      <c r="B31" s="36">
        <v>100059</v>
      </c>
      <c r="C31" s="37">
        <f t="shared" ca="1" si="1"/>
        <v>0</v>
      </c>
      <c r="D31" s="40">
        <f ca="1">IF(B31 = "", "", PRODUCT(C31,VLOOKUP(B31,'Data Study List'!$A$3:$J$200,10,FALSE)))</f>
        <v>0</v>
      </c>
    </row>
    <row r="32" spans="2:6" x14ac:dyDescent="0.25">
      <c r="B32" s="36"/>
      <c r="C32" s="37"/>
      <c r="D32" s="40" t="str">
        <f>IF(B32 = "", "", PRODUCT(C32,VLOOKUP(B32,'Data Study List'!$A$3:$J$200,10,FALSE)))</f>
        <v/>
      </c>
    </row>
    <row r="33" spans="2:4" x14ac:dyDescent="0.25">
      <c r="B33" s="36"/>
      <c r="C33" s="37"/>
      <c r="D33" s="40" t="str">
        <f>IF(B33 = "", "", PRODUCT(C33,VLOOKUP(B33,'Data Study List'!$A$3:$J$200,10,FALSE)))</f>
        <v/>
      </c>
    </row>
    <row r="34" spans="2:4" x14ac:dyDescent="0.25">
      <c r="B34" s="36"/>
      <c r="C34" s="37"/>
      <c r="D34" s="40" t="str">
        <f>IF(B34 = "", "", PRODUCT(C34,VLOOKUP(B34,'Data Study List'!$A$3:$J$200,10,FALSE)))</f>
        <v/>
      </c>
    </row>
    <row r="35" spans="2:4" x14ac:dyDescent="0.25">
      <c r="B35" s="36"/>
      <c r="C35" s="37"/>
      <c r="D35" s="40" t="str">
        <f>IF(B35 = "", "", PRODUCT(C35,VLOOKUP(B35,'Data Study List'!$A$3:$J$200,10,FALSE)))</f>
        <v/>
      </c>
    </row>
    <row r="36" spans="2:4" x14ac:dyDescent="0.25">
      <c r="B36" s="36"/>
      <c r="C36" s="37"/>
      <c r="D36" s="40" t="str">
        <f>IF(B36 = "", "", PRODUCT(C36,VLOOKUP(B36,'Data Study List'!$A$3:$J$200,10,FALSE)))</f>
        <v/>
      </c>
    </row>
    <row r="37" spans="2:4" x14ac:dyDescent="0.25">
      <c r="B37" s="36"/>
      <c r="C37" s="37"/>
      <c r="D37" s="40" t="str">
        <f>IF(B37 = "", "", PRODUCT(C37,VLOOKUP(B37,'Data Study List'!$A$3:$J$200,10,FALSE)))</f>
        <v/>
      </c>
    </row>
    <row r="38" spans="2:4" x14ac:dyDescent="0.25">
      <c r="B38" s="36"/>
      <c r="C38" s="37"/>
      <c r="D38" s="40" t="str">
        <f>IF(B38 = "", "", PRODUCT(C38,VLOOKUP(B38,'Data Study List'!$A$3:$J$200,10,FALSE)))</f>
        <v/>
      </c>
    </row>
    <row r="39" spans="2:4" x14ac:dyDescent="0.25">
      <c r="B39" s="36"/>
      <c r="C39" s="37"/>
      <c r="D39" s="40" t="str">
        <f>IF(B39 = "", "", PRODUCT(C39,VLOOKUP(B39,'Data Study List'!$A$3:$J$200,10,FALSE)))</f>
        <v/>
      </c>
    </row>
    <row r="40" spans="2:4" ht="15.75" thickBot="1" x14ac:dyDescent="0.3">
      <c r="B40" s="38"/>
      <c r="C40" s="39"/>
      <c r="D40" s="45" t="str">
        <f>IF(B40 = "", "", PRODUCT(C40,VLOOKUP(B40,'Data Study List'!$A$3:$J$200,10,FALSE)))</f>
        <v/>
      </c>
    </row>
    <row r="41" spans="2:4" x14ac:dyDescent="0.25">
      <c r="B41"/>
      <c r="C41"/>
      <c r="D41"/>
    </row>
    <row r="42" spans="2:4" x14ac:dyDescent="0.25">
      <c r="B42"/>
      <c r="C42"/>
      <c r="D42"/>
    </row>
    <row r="43" spans="2:4" x14ac:dyDescent="0.25">
      <c r="B43"/>
      <c r="C43"/>
      <c r="D43"/>
    </row>
    <row r="44" spans="2:4" x14ac:dyDescent="0.25">
      <c r="B44"/>
      <c r="C44"/>
      <c r="D44"/>
    </row>
    <row r="45" spans="2:4" x14ac:dyDescent="0.25">
      <c r="B45"/>
      <c r="C45"/>
      <c r="D45"/>
    </row>
    <row r="46" spans="2:4" x14ac:dyDescent="0.25">
      <c r="B46"/>
      <c r="C46"/>
      <c r="D46"/>
    </row>
    <row r="47" spans="2:4" x14ac:dyDescent="0.25">
      <c r="B47"/>
      <c r="C47"/>
      <c r="D47"/>
    </row>
    <row r="48" spans="2:4" x14ac:dyDescent="0.25">
      <c r="B48"/>
      <c r="C48"/>
      <c r="D48"/>
    </row>
    <row r="49" spans="2:4" x14ac:dyDescent="0.25">
      <c r="B49"/>
      <c r="C49"/>
      <c r="D49"/>
    </row>
    <row r="50" spans="2:4" x14ac:dyDescent="0.25">
      <c r="B50"/>
      <c r="C50"/>
      <c r="D50"/>
    </row>
    <row r="51" spans="2:4" x14ac:dyDescent="0.25">
      <c r="B51"/>
      <c r="C51"/>
      <c r="D51"/>
    </row>
    <row r="52" spans="2:4" x14ac:dyDescent="0.25">
      <c r="B52"/>
      <c r="C52"/>
      <c r="D52"/>
    </row>
    <row r="53" spans="2:4" x14ac:dyDescent="0.25">
      <c r="B53"/>
      <c r="C53"/>
      <c r="D53"/>
    </row>
    <row r="54" spans="2:4" x14ac:dyDescent="0.25">
      <c r="B54"/>
      <c r="C54"/>
      <c r="D54"/>
    </row>
    <row r="55" spans="2:4" x14ac:dyDescent="0.25">
      <c r="B55"/>
      <c r="C55"/>
      <c r="D55"/>
    </row>
    <row r="56" spans="2:4" x14ac:dyDescent="0.25">
      <c r="B56"/>
      <c r="C56"/>
      <c r="D56"/>
    </row>
    <row r="57" spans="2:4" x14ac:dyDescent="0.25">
      <c r="B57"/>
      <c r="C57"/>
      <c r="D57"/>
    </row>
    <row r="58" spans="2:4" x14ac:dyDescent="0.25">
      <c r="B58"/>
      <c r="C58"/>
      <c r="D58"/>
    </row>
    <row r="59" spans="2:4" x14ac:dyDescent="0.25">
      <c r="B59"/>
      <c r="C59"/>
      <c r="D59"/>
    </row>
    <row r="60" spans="2:4" x14ac:dyDescent="0.25">
      <c r="B60"/>
      <c r="C60"/>
      <c r="D60"/>
    </row>
    <row r="61" spans="2:4" x14ac:dyDescent="0.25">
      <c r="B61"/>
      <c r="C61"/>
      <c r="D61"/>
    </row>
  </sheetData>
  <sheetProtection algorithmName="SHA-512" hashValue="ve+f2axvPNIHxhTxgON2LoM5gPEtuFHA1Tp3WqrULTMeLtKOtPZEROyR06zQBLu6KKLJ1L+6W+ILeBMDVeegYQ==" saltValue="aWQNpwD5vonQ/M0QrKgg9A==" spinCount="100000" sheet="1" objects="1" scenarios="1"/>
  <mergeCells count="6">
    <mergeCell ref="B8:D8"/>
    <mergeCell ref="C4:D4"/>
    <mergeCell ref="B2:D2"/>
    <mergeCell ref="C3:D3"/>
    <mergeCell ref="B9:D9"/>
    <mergeCell ref="B5:D5"/>
  </mergeCells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10906-2ACB-4A23-9D4A-27452DD04880}">
  <sheetPr codeName="Sheet10">
    <tabColor theme="3" tint="0.59999389629810485"/>
  </sheetPr>
  <dimension ref="B1:F61"/>
  <sheetViews>
    <sheetView showGridLines="0" zoomScaleNormal="100" workbookViewId="0">
      <selection activeCell="I5" sqref="I5"/>
    </sheetView>
  </sheetViews>
  <sheetFormatPr defaultColWidth="30.7109375" defaultRowHeight="15" x14ac:dyDescent="0.25"/>
  <cols>
    <col min="1" max="1" width="20.7109375" style="12" customWidth="1"/>
    <col min="2" max="4" width="30.7109375" style="12"/>
    <col min="5" max="5" width="20.7109375" style="12" customWidth="1"/>
    <col min="6" max="6" width="24.140625" style="12" customWidth="1"/>
    <col min="7" max="16384" width="30.7109375" style="12"/>
  </cols>
  <sheetData>
    <row r="1" spans="2:6" ht="15.95" customHeight="1" thickBot="1" x14ac:dyDescent="0.3"/>
    <row r="2" spans="2:6" ht="62.25" customHeight="1" x14ac:dyDescent="0.25">
      <c r="B2" s="65" t="s">
        <v>36</v>
      </c>
      <c r="C2" s="66"/>
      <c r="D2" s="67"/>
    </row>
    <row r="3" spans="2:6" ht="30" customHeight="1" x14ac:dyDescent="0.25">
      <c r="B3" s="29" t="s">
        <v>40</v>
      </c>
      <c r="C3" s="68" t="s">
        <v>46</v>
      </c>
      <c r="D3" s="64"/>
      <c r="F3"/>
    </row>
    <row r="4" spans="2:6" ht="30" customHeight="1" x14ac:dyDescent="0.25">
      <c r="B4" s="29" t="s">
        <v>125</v>
      </c>
      <c r="C4" s="63" t="s">
        <v>128</v>
      </c>
      <c r="D4" s="64"/>
      <c r="F4"/>
    </row>
    <row r="5" spans="2:6" ht="8.1" customHeight="1" x14ac:dyDescent="0.25">
      <c r="B5" s="72"/>
      <c r="C5" s="73"/>
      <c r="D5" s="74"/>
      <c r="F5"/>
    </row>
    <row r="6" spans="2:6" ht="72" customHeight="1" x14ac:dyDescent="0.25">
      <c r="B6" s="30">
        <f>COUNTA($B$11:$B$61)</f>
        <v>16</v>
      </c>
      <c r="C6" s="31">
        <f ca="1">SUM($C$11:$C$61)</f>
        <v>83</v>
      </c>
      <c r="D6" s="32">
        <f ca="1">SUM($D$11:$D$61)</f>
        <v>383.9246</v>
      </c>
      <c r="F6"/>
    </row>
    <row r="7" spans="2:6" ht="42.75" customHeight="1" x14ac:dyDescent="0.25">
      <c r="B7" s="26" t="s">
        <v>37</v>
      </c>
      <c r="C7" s="27" t="s">
        <v>39</v>
      </c>
      <c r="D7" s="28" t="s">
        <v>42</v>
      </c>
      <c r="F7"/>
    </row>
    <row r="8" spans="2:6" ht="60" customHeight="1" x14ac:dyDescent="0.25">
      <c r="B8" s="60" t="s">
        <v>126</v>
      </c>
      <c r="C8" s="61"/>
      <c r="D8" s="62"/>
      <c r="F8" s="44"/>
    </row>
    <row r="9" spans="2:6" ht="26.25" customHeight="1" x14ac:dyDescent="0.25">
      <c r="B9" s="69" t="s">
        <v>41</v>
      </c>
      <c r="C9" s="70"/>
      <c r="D9" s="71"/>
      <c r="F9" s="44"/>
    </row>
    <row r="10" spans="2:6" x14ac:dyDescent="0.25">
      <c r="B10" s="33" t="s">
        <v>0</v>
      </c>
      <c r="C10" s="34" t="s">
        <v>43</v>
      </c>
      <c r="D10" s="35" t="s">
        <v>38</v>
      </c>
      <c r="F10" s="44"/>
    </row>
    <row r="11" spans="2:6" x14ac:dyDescent="0.25">
      <c r="B11" s="36">
        <v>100041</v>
      </c>
      <c r="C11" s="37">
        <f ca="1" xml:space="preserve"> RANDBETWEEN(0,10)</f>
        <v>0</v>
      </c>
      <c r="D11" s="40">
        <f ca="1">IF(B11 = "", "", PRODUCT(C11,VLOOKUP(B11,'Data Study List'!$A$3:$J$200,10,FALSE)))</f>
        <v>0</v>
      </c>
      <c r="F11" s="44"/>
    </row>
    <row r="12" spans="2:6" x14ac:dyDescent="0.25">
      <c r="B12" s="36">
        <v>100040</v>
      </c>
      <c r="C12" s="37">
        <f t="shared" ref="C12:C26" ca="1" si="0" xml:space="preserve"> RANDBETWEEN(0,10)</f>
        <v>1</v>
      </c>
      <c r="D12" s="40">
        <f ca="1">IF(B12 = "", "", PRODUCT(C12,VLOOKUP(B12,'Data Study List'!$A$3:$J$200,10,FALSE)))</f>
        <v>0.35</v>
      </c>
      <c r="F12" s="44"/>
    </row>
    <row r="13" spans="2:6" x14ac:dyDescent="0.25">
      <c r="B13" s="36">
        <v>100039</v>
      </c>
      <c r="C13" s="37">
        <f t="shared" ca="1" si="0"/>
        <v>5</v>
      </c>
      <c r="D13" s="40">
        <f ca="1">IF(B13 = "", "", PRODUCT(C13,VLOOKUP(B13,'Data Study List'!$A$3:$J$200,10,FALSE)))</f>
        <v>9.75</v>
      </c>
      <c r="F13" s="44"/>
    </row>
    <row r="14" spans="2:6" x14ac:dyDescent="0.25">
      <c r="B14" s="36">
        <v>100038</v>
      </c>
      <c r="C14" s="37">
        <f t="shared" ca="1" si="0"/>
        <v>8</v>
      </c>
      <c r="D14" s="40">
        <f ca="1">IF(B14 = "", "", PRODUCT(C14,VLOOKUP(B14,'Data Study List'!$A$3:$J$200,10,FALSE)))</f>
        <v>99.84</v>
      </c>
      <c r="F14" s="44"/>
    </row>
    <row r="15" spans="2:6" x14ac:dyDescent="0.25">
      <c r="B15" s="36">
        <v>100037</v>
      </c>
      <c r="C15" s="37">
        <f t="shared" ca="1" si="0"/>
        <v>6</v>
      </c>
      <c r="D15" s="40">
        <f ca="1">IF(B15 = "", "", PRODUCT(C15,VLOOKUP(B15,'Data Study List'!$A$3:$J$200,10,FALSE)))</f>
        <v>15.444000000000003</v>
      </c>
      <c r="F15" s="44"/>
    </row>
    <row r="16" spans="2:6" x14ac:dyDescent="0.25">
      <c r="B16" s="36">
        <v>100036</v>
      </c>
      <c r="C16" s="37">
        <v>6</v>
      </c>
      <c r="D16" s="40">
        <f>IF(B16 = "", "", PRODUCT(C16,VLOOKUP(B16,'Data Study List'!$A$3:$J$200,10,FALSE)))</f>
        <v>74.88</v>
      </c>
      <c r="F16" s="44"/>
    </row>
    <row r="17" spans="2:6" x14ac:dyDescent="0.25">
      <c r="B17" s="36">
        <v>100035</v>
      </c>
      <c r="C17" s="37">
        <f t="shared" ca="1" si="0"/>
        <v>5</v>
      </c>
      <c r="D17" s="40">
        <f ca="1">IF(B17 = "", "", PRODUCT(C17,VLOOKUP(B17,'Data Study List'!$A$3:$J$200,10,FALSE)))</f>
        <v>7.2600000000000007</v>
      </c>
      <c r="F17" s="44"/>
    </row>
    <row r="18" spans="2:6" x14ac:dyDescent="0.25">
      <c r="B18" s="36">
        <v>100034</v>
      </c>
      <c r="C18" s="37">
        <f t="shared" ca="1" si="0"/>
        <v>9</v>
      </c>
      <c r="D18" s="40">
        <f ca="1">IF(B18 = "", "", PRODUCT(C18,VLOOKUP(B18,'Data Study List'!$A$3:$J$200,10,FALSE)))</f>
        <v>29.700000000000003</v>
      </c>
      <c r="F18" s="44"/>
    </row>
    <row r="19" spans="2:6" x14ac:dyDescent="0.25">
      <c r="B19" s="36">
        <v>100033</v>
      </c>
      <c r="C19" s="37">
        <f t="shared" ca="1" si="0"/>
        <v>9</v>
      </c>
      <c r="D19" s="40">
        <f ca="1">IF(B19 = "", "", PRODUCT(C19,VLOOKUP(B19,'Data Study List'!$A$3:$J$200,10,FALSE)))</f>
        <v>25.482600000000005</v>
      </c>
      <c r="F19" s="44"/>
    </row>
    <row r="20" spans="2:6" x14ac:dyDescent="0.25">
      <c r="B20" s="36">
        <v>100032</v>
      </c>
      <c r="C20" s="37">
        <f t="shared" ca="1" si="0"/>
        <v>2</v>
      </c>
      <c r="D20" s="40">
        <f ca="1">IF(B20 = "", "", PRODUCT(C20,VLOOKUP(B20,'Data Study List'!$A$3:$J$200,10,FALSE)))</f>
        <v>7.2600000000000016</v>
      </c>
      <c r="F20" s="44"/>
    </row>
    <row r="21" spans="2:6" x14ac:dyDescent="0.25">
      <c r="B21" s="36">
        <v>100031</v>
      </c>
      <c r="C21" s="37">
        <v>6</v>
      </c>
      <c r="D21" s="40">
        <f>IF(B21 = "", "", PRODUCT(C21,VLOOKUP(B21,'Data Study List'!$A$3:$J$200,10,FALSE)))</f>
        <v>14.040000000000003</v>
      </c>
      <c r="F21" s="44"/>
    </row>
    <row r="22" spans="2:6" x14ac:dyDescent="0.25">
      <c r="B22" s="36">
        <v>100030</v>
      </c>
      <c r="C22" s="37">
        <v>6</v>
      </c>
      <c r="D22" s="40">
        <f>IF(B22 = "", "", PRODUCT(C22,VLOOKUP(B22,'Data Study List'!$A$3:$J$200,10,FALSE)))</f>
        <v>20.28</v>
      </c>
    </row>
    <row r="23" spans="2:6" x14ac:dyDescent="0.25">
      <c r="B23" s="36">
        <v>100029</v>
      </c>
      <c r="C23" s="37">
        <f t="shared" ca="1" si="0"/>
        <v>5</v>
      </c>
      <c r="D23" s="40">
        <f ca="1">IF(B23 = "", "", PRODUCT(C23,VLOOKUP(B23,'Data Study List'!$A$3:$J$200,10,FALSE)))</f>
        <v>29.040000000000003</v>
      </c>
    </row>
    <row r="24" spans="2:6" x14ac:dyDescent="0.25">
      <c r="B24" s="36">
        <v>100028</v>
      </c>
      <c r="C24" s="37">
        <f t="shared" ca="1" si="0"/>
        <v>3</v>
      </c>
      <c r="D24" s="40">
        <f ca="1">IF(B24 = "", "", PRODUCT(C24,VLOOKUP(B24,'Data Study List'!$A$3:$J$200,10,FALSE)))</f>
        <v>8.7120000000000015</v>
      </c>
    </row>
    <row r="25" spans="2:6" x14ac:dyDescent="0.25">
      <c r="B25" s="36">
        <v>100027</v>
      </c>
      <c r="C25" s="37">
        <f t="shared" ca="1" si="0"/>
        <v>3</v>
      </c>
      <c r="D25" s="40">
        <f ca="1">IF(B25 = "", "", PRODUCT(C25,VLOOKUP(B25,'Data Study List'!$A$3:$J$200,10,FALSE)))</f>
        <v>18.72</v>
      </c>
    </row>
    <row r="26" spans="2:6" x14ac:dyDescent="0.25">
      <c r="B26" s="36">
        <v>100026</v>
      </c>
      <c r="C26" s="37">
        <f t="shared" ca="1" si="0"/>
        <v>9</v>
      </c>
      <c r="D26" s="40">
        <f ca="1">IF(B26 = "", "", PRODUCT(C26,VLOOKUP(B26,'Data Study List'!$A$3:$J$200,10,FALSE)))</f>
        <v>23.166000000000007</v>
      </c>
    </row>
    <row r="27" spans="2:6" x14ac:dyDescent="0.25">
      <c r="B27" s="36"/>
      <c r="C27" s="37"/>
      <c r="D27" s="40" t="str">
        <f>IF(B27 = "", "", PRODUCT(C27,VLOOKUP(B27,'Data Study List'!$A$3:$J$200,10,FALSE)))</f>
        <v/>
      </c>
    </row>
    <row r="28" spans="2:6" x14ac:dyDescent="0.25">
      <c r="B28" s="36"/>
      <c r="C28" s="37"/>
      <c r="D28" s="40" t="str">
        <f>IF(B28 = "", "", PRODUCT(C28,VLOOKUP(B28,'Data Study List'!$A$3:$J$200,10,FALSE)))</f>
        <v/>
      </c>
    </row>
    <row r="29" spans="2:6" x14ac:dyDescent="0.25">
      <c r="B29" s="36"/>
      <c r="C29" s="37"/>
      <c r="D29" s="40" t="str">
        <f>IF(B29 = "", "", PRODUCT(C29,VLOOKUP(B29,'Data Study List'!$A$3:$J$200,10,FALSE)))</f>
        <v/>
      </c>
    </row>
    <row r="30" spans="2:6" x14ac:dyDescent="0.25">
      <c r="B30" s="36"/>
      <c r="C30" s="37"/>
      <c r="D30" s="40" t="str">
        <f>IF(B30 = "", "", PRODUCT(C30,VLOOKUP(B30,'Data Study List'!$A$3:$J$200,10,FALSE)))</f>
        <v/>
      </c>
    </row>
    <row r="31" spans="2:6" x14ac:dyDescent="0.25">
      <c r="B31" s="36"/>
      <c r="C31" s="37"/>
      <c r="D31" s="40" t="str">
        <f>IF(B31 = "", "", PRODUCT(C31,VLOOKUP(B31,'Data Study List'!$A$3:$J$200,10,FALSE)))</f>
        <v/>
      </c>
    </row>
    <row r="32" spans="2:6" x14ac:dyDescent="0.25">
      <c r="B32" s="36"/>
      <c r="C32" s="37"/>
      <c r="D32" s="40" t="str">
        <f>IF(B32 = "", "", PRODUCT(C32,VLOOKUP(B32,'Data Study List'!$A$3:$J$200,10,FALSE)))</f>
        <v/>
      </c>
    </row>
    <row r="33" spans="2:4" x14ac:dyDescent="0.25">
      <c r="B33" s="36"/>
      <c r="C33" s="37"/>
      <c r="D33" s="40" t="str">
        <f>IF(B33 = "", "", PRODUCT(C33,VLOOKUP(B33,'Data Study List'!$A$3:$J$200,10,FALSE)))</f>
        <v/>
      </c>
    </row>
    <row r="34" spans="2:4" x14ac:dyDescent="0.25">
      <c r="B34" s="36"/>
      <c r="C34" s="37"/>
      <c r="D34" s="40" t="str">
        <f>IF(B34 = "", "", PRODUCT(C34,VLOOKUP(B34,'Data Study List'!$A$3:$J$200,10,FALSE)))</f>
        <v/>
      </c>
    </row>
    <row r="35" spans="2:4" x14ac:dyDescent="0.25">
      <c r="B35" s="36"/>
      <c r="C35" s="37"/>
      <c r="D35" s="40" t="str">
        <f>IF(B35 = "", "", PRODUCT(C35,VLOOKUP(B35,'Data Study List'!$A$3:$J$200,10,FALSE)))</f>
        <v/>
      </c>
    </row>
    <row r="36" spans="2:4" x14ac:dyDescent="0.25">
      <c r="B36" s="36"/>
      <c r="C36" s="37"/>
      <c r="D36" s="40" t="str">
        <f>IF(B36 = "", "", PRODUCT(C36,VLOOKUP(B36,'Data Study List'!$A$3:$J$200,10,FALSE)))</f>
        <v/>
      </c>
    </row>
    <row r="37" spans="2:4" x14ac:dyDescent="0.25">
      <c r="B37" s="36"/>
      <c r="C37" s="37"/>
      <c r="D37" s="40" t="str">
        <f>IF(B37 = "", "", PRODUCT(C37,VLOOKUP(B37,'Data Study List'!$A$3:$J$200,10,FALSE)))</f>
        <v/>
      </c>
    </row>
    <row r="38" spans="2:4" x14ac:dyDescent="0.25">
      <c r="B38" s="36"/>
      <c r="C38" s="37"/>
      <c r="D38" s="40" t="str">
        <f>IF(B38 = "", "", PRODUCT(C38,VLOOKUP(B38,'Data Study List'!$A$3:$J$200,10,FALSE)))</f>
        <v/>
      </c>
    </row>
    <row r="39" spans="2:4" x14ac:dyDescent="0.25">
      <c r="B39" s="36"/>
      <c r="C39" s="37"/>
      <c r="D39" s="40" t="str">
        <f>IF(B39 = "", "", PRODUCT(C39,VLOOKUP(B39,'Data Study List'!$A$3:$J$200,10,FALSE)))</f>
        <v/>
      </c>
    </row>
    <row r="40" spans="2:4" ht="15.75" thickBot="1" x14ac:dyDescent="0.3">
      <c r="B40" s="38"/>
      <c r="C40" s="39"/>
      <c r="D40" s="45" t="str">
        <f>IF(B40 = "", "", PRODUCT(C40,VLOOKUP(B40,'Data Study List'!$A$3:$J$200,10,FALSE)))</f>
        <v/>
      </c>
    </row>
    <row r="41" spans="2:4" ht="15.95" customHeight="1" x14ac:dyDescent="0.25">
      <c r="B41"/>
      <c r="C41"/>
      <c r="D41"/>
    </row>
    <row r="42" spans="2:4" x14ac:dyDescent="0.25">
      <c r="B42"/>
      <c r="C42"/>
      <c r="D42"/>
    </row>
    <row r="43" spans="2:4" x14ac:dyDescent="0.25">
      <c r="B43"/>
      <c r="C43"/>
      <c r="D43"/>
    </row>
    <row r="44" spans="2:4" x14ac:dyDescent="0.25">
      <c r="B44"/>
      <c r="C44"/>
      <c r="D44"/>
    </row>
    <row r="45" spans="2:4" x14ac:dyDescent="0.25">
      <c r="B45"/>
      <c r="C45"/>
      <c r="D45"/>
    </row>
    <row r="46" spans="2:4" x14ac:dyDescent="0.25">
      <c r="B46"/>
      <c r="C46"/>
      <c r="D46"/>
    </row>
    <row r="47" spans="2:4" x14ac:dyDescent="0.25">
      <c r="B47"/>
      <c r="C47"/>
      <c r="D47"/>
    </row>
    <row r="48" spans="2:4" x14ac:dyDescent="0.25">
      <c r="B48"/>
      <c r="C48"/>
      <c r="D48"/>
    </row>
    <row r="49" spans="2:4" x14ac:dyDescent="0.25">
      <c r="B49"/>
      <c r="C49"/>
      <c r="D49"/>
    </row>
    <row r="50" spans="2:4" x14ac:dyDescent="0.25">
      <c r="B50"/>
      <c r="C50"/>
      <c r="D50"/>
    </row>
    <row r="51" spans="2:4" x14ac:dyDescent="0.25">
      <c r="B51"/>
      <c r="C51"/>
      <c r="D51"/>
    </row>
    <row r="52" spans="2:4" x14ac:dyDescent="0.25">
      <c r="B52"/>
      <c r="C52"/>
      <c r="D52"/>
    </row>
    <row r="53" spans="2:4" x14ac:dyDescent="0.25">
      <c r="B53"/>
      <c r="C53"/>
      <c r="D53"/>
    </row>
    <row r="54" spans="2:4" x14ac:dyDescent="0.25">
      <c r="B54"/>
      <c r="C54"/>
      <c r="D54"/>
    </row>
    <row r="55" spans="2:4" x14ac:dyDescent="0.25">
      <c r="B55"/>
      <c r="C55"/>
      <c r="D55"/>
    </row>
    <row r="56" spans="2:4" x14ac:dyDescent="0.25">
      <c r="B56"/>
      <c r="C56"/>
      <c r="D56"/>
    </row>
    <row r="57" spans="2:4" x14ac:dyDescent="0.25">
      <c r="B57"/>
      <c r="C57"/>
      <c r="D57"/>
    </row>
    <row r="58" spans="2:4" x14ac:dyDescent="0.25">
      <c r="B58"/>
      <c r="C58"/>
      <c r="D58"/>
    </row>
    <row r="59" spans="2:4" x14ac:dyDescent="0.25">
      <c r="B59"/>
      <c r="C59"/>
      <c r="D59"/>
    </row>
    <row r="60" spans="2:4" x14ac:dyDescent="0.25">
      <c r="B60"/>
      <c r="C60"/>
      <c r="D60"/>
    </row>
    <row r="61" spans="2:4" x14ac:dyDescent="0.25">
      <c r="B61"/>
      <c r="C61"/>
      <c r="D61"/>
    </row>
  </sheetData>
  <sheetProtection algorithmName="SHA-512" hashValue="1nsnrWZa7fmFBaoFiLqdgbUR+SeXi8C1jibZdtO5D6/vysjKZxfWc4JiXfJmx3hT2L48hDAwPUawrTtx4HX3Wg==" saltValue="EQqFa0CDT/ToIf4OHm2K5w==" spinCount="100000" sheet="1" objects="1" scenarios="1"/>
  <mergeCells count="6">
    <mergeCell ref="B9:D9"/>
    <mergeCell ref="B2:D2"/>
    <mergeCell ref="C3:D3"/>
    <mergeCell ref="C4:D4"/>
    <mergeCell ref="B5:D5"/>
    <mergeCell ref="B8:D8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00C11-5B0A-4FEF-BA85-B810A6AEDE83}">
  <sheetPr codeName="Sheet11">
    <tabColor theme="3" tint="0.59999389629810485"/>
  </sheetPr>
  <dimension ref="B1:F61"/>
  <sheetViews>
    <sheetView showGridLines="0" workbookViewId="0">
      <selection activeCell="L18" sqref="L18:L19"/>
    </sheetView>
  </sheetViews>
  <sheetFormatPr defaultColWidth="30.7109375" defaultRowHeight="15" x14ac:dyDescent="0.25"/>
  <cols>
    <col min="1" max="1" width="20.7109375" style="12" customWidth="1"/>
    <col min="2" max="4" width="30.7109375" style="12"/>
    <col min="5" max="5" width="5.28515625" style="12" customWidth="1"/>
    <col min="6" max="6" width="24.140625" style="12" customWidth="1"/>
    <col min="7" max="16384" width="30.7109375" style="12"/>
  </cols>
  <sheetData>
    <row r="1" spans="2:6" ht="15.75" thickBot="1" x14ac:dyDescent="0.3"/>
    <row r="2" spans="2:6" ht="62.25" customHeight="1" x14ac:dyDescent="0.25">
      <c r="B2" s="65" t="s">
        <v>36</v>
      </c>
      <c r="C2" s="66"/>
      <c r="D2" s="67"/>
    </row>
    <row r="3" spans="2:6" ht="30" customHeight="1" x14ac:dyDescent="0.25">
      <c r="B3" s="29" t="s">
        <v>40</v>
      </c>
      <c r="C3" s="68" t="s">
        <v>47</v>
      </c>
      <c r="D3" s="64"/>
      <c r="F3"/>
    </row>
    <row r="4" spans="2:6" ht="30" customHeight="1" x14ac:dyDescent="0.25">
      <c r="B4" s="29" t="s">
        <v>125</v>
      </c>
      <c r="C4" s="63" t="s">
        <v>128</v>
      </c>
      <c r="D4" s="64"/>
      <c r="F4"/>
    </row>
    <row r="5" spans="2:6" ht="8.1" customHeight="1" x14ac:dyDescent="0.25">
      <c r="B5" s="72"/>
      <c r="C5" s="73"/>
      <c r="D5" s="74"/>
      <c r="F5"/>
    </row>
    <row r="6" spans="2:6" ht="72" customHeight="1" x14ac:dyDescent="0.25">
      <c r="B6" s="30">
        <f>COUNTA($B$11:$B$61)</f>
        <v>10</v>
      </c>
      <c r="C6" s="31">
        <f ca="1">SUM($C$11:$C$61)</f>
        <v>70</v>
      </c>
      <c r="D6" s="32">
        <f ca="1">SUM($D$11:$D$61)</f>
        <v>184.83279999999996</v>
      </c>
      <c r="F6"/>
    </row>
    <row r="7" spans="2:6" ht="42.75" customHeight="1" x14ac:dyDescent="0.25">
      <c r="B7" s="26" t="s">
        <v>37</v>
      </c>
      <c r="C7" s="27" t="s">
        <v>39</v>
      </c>
      <c r="D7" s="28" t="s">
        <v>42</v>
      </c>
      <c r="F7"/>
    </row>
    <row r="8" spans="2:6" ht="60" customHeight="1" x14ac:dyDescent="0.25">
      <c r="B8" s="60" t="s">
        <v>126</v>
      </c>
      <c r="C8" s="61"/>
      <c r="D8" s="62"/>
      <c r="F8" s="44"/>
    </row>
    <row r="9" spans="2:6" ht="26.25" customHeight="1" x14ac:dyDescent="0.25">
      <c r="B9" s="69" t="s">
        <v>41</v>
      </c>
      <c r="C9" s="70"/>
      <c r="D9" s="71"/>
      <c r="F9" s="44"/>
    </row>
    <row r="10" spans="2:6" x14ac:dyDescent="0.25">
      <c r="B10" s="33" t="s">
        <v>0</v>
      </c>
      <c r="C10" s="34" t="s">
        <v>43</v>
      </c>
      <c r="D10" s="35" t="s">
        <v>38</v>
      </c>
      <c r="F10" s="44"/>
    </row>
    <row r="11" spans="2:6" x14ac:dyDescent="0.25">
      <c r="B11" s="36">
        <v>100025</v>
      </c>
      <c r="C11" s="37">
        <f ca="1" xml:space="preserve"> RANDBETWEEN(0,10)</f>
        <v>10</v>
      </c>
      <c r="D11" s="40">
        <f ca="1">IF(B11 = "", "", PRODUCT(C11,VLOOKUP(B11,'Data Study List'!$A$3:$J$200,10,FALSE)))</f>
        <v>30.42</v>
      </c>
      <c r="F11" s="44"/>
    </row>
    <row r="12" spans="2:6" x14ac:dyDescent="0.25">
      <c r="B12" s="36">
        <v>100024</v>
      </c>
      <c r="C12" s="37">
        <f t="shared" ref="C12:C20" ca="1" si="0" xml:space="preserve"> RANDBETWEEN(0,10)</f>
        <v>9</v>
      </c>
      <c r="D12" s="40">
        <f ca="1">IF(B12 = "", "", PRODUCT(C12,VLOOKUP(B12,'Data Study List'!$A$3:$J$200,10,FALSE)))</f>
        <v>5.5439999999999996</v>
      </c>
      <c r="F12" s="44"/>
    </row>
    <row r="13" spans="2:6" x14ac:dyDescent="0.25">
      <c r="B13" s="36">
        <v>100023</v>
      </c>
      <c r="C13" s="37">
        <f t="shared" ca="1" si="0"/>
        <v>9</v>
      </c>
      <c r="D13" s="40">
        <f ca="1">IF(B13 = "", "", PRODUCT(C13,VLOOKUP(B13,'Data Study List'!$A$3:$J$200,10,FALSE)))</f>
        <v>16.988400000000002</v>
      </c>
      <c r="F13" s="44"/>
    </row>
    <row r="14" spans="2:6" x14ac:dyDescent="0.25">
      <c r="B14" s="36">
        <v>100022</v>
      </c>
      <c r="C14" s="37">
        <f t="shared" ca="1" si="0"/>
        <v>9</v>
      </c>
      <c r="D14" s="40">
        <f ca="1">IF(B14 = "", "", PRODUCT(C14,VLOOKUP(B14,'Data Study List'!$A$3:$J$200,10,FALSE)))</f>
        <v>14.157000000000004</v>
      </c>
      <c r="F14" s="44"/>
    </row>
    <row r="15" spans="2:6" x14ac:dyDescent="0.25">
      <c r="B15" s="36">
        <v>100041</v>
      </c>
      <c r="C15" s="37">
        <f t="shared" ca="1" si="0"/>
        <v>1</v>
      </c>
      <c r="D15" s="40">
        <f ca="1">IF(B15 = "", "", PRODUCT(C15,VLOOKUP(B15,'Data Study List'!$A$3:$J$200,10,FALSE)))</f>
        <v>1.8876000000000004</v>
      </c>
      <c r="F15" s="44"/>
    </row>
    <row r="16" spans="2:6" x14ac:dyDescent="0.25">
      <c r="B16" s="36">
        <v>100021</v>
      </c>
      <c r="C16" s="37">
        <f t="shared" ca="1" si="0"/>
        <v>10</v>
      </c>
      <c r="D16" s="40">
        <f ca="1">IF(B16 = "", "", PRODUCT(C16,VLOOKUP(B16,'Data Study List'!$A$3:$J$200,10,FALSE)))</f>
        <v>62.400000000000006</v>
      </c>
      <c r="F16" s="44"/>
    </row>
    <row r="17" spans="2:6" x14ac:dyDescent="0.25">
      <c r="B17" s="36">
        <v>100029</v>
      </c>
      <c r="C17" s="37">
        <f t="shared" ca="1" si="0"/>
        <v>1</v>
      </c>
      <c r="D17" s="40">
        <f ca="1">IF(B17 = "", "", PRODUCT(C17,VLOOKUP(B17,'Data Study List'!$A$3:$J$200,10,FALSE)))</f>
        <v>5.8080000000000007</v>
      </c>
      <c r="F17" s="44"/>
    </row>
    <row r="18" spans="2:6" x14ac:dyDescent="0.25">
      <c r="B18" s="36">
        <v>100020</v>
      </c>
      <c r="C18" s="37">
        <f t="shared" ca="1" si="0"/>
        <v>10</v>
      </c>
      <c r="D18" s="40">
        <f ca="1">IF(B18 = "", "", PRODUCT(C18,VLOOKUP(B18,'Data Study List'!$A$3:$J$200,10,FALSE)))</f>
        <v>22</v>
      </c>
      <c r="F18" s="44"/>
    </row>
    <row r="19" spans="2:6" x14ac:dyDescent="0.25">
      <c r="B19" s="36">
        <v>100019</v>
      </c>
      <c r="C19" s="37">
        <f t="shared" ca="1" si="0"/>
        <v>4</v>
      </c>
      <c r="D19" s="40">
        <f ca="1">IF(B19 = "", "", PRODUCT(C19,VLOOKUP(B19,'Data Study List'!$A$3:$J$200,10,FALSE)))</f>
        <v>5.8080000000000007</v>
      </c>
      <c r="F19" s="44"/>
    </row>
    <row r="20" spans="2:6" x14ac:dyDescent="0.25">
      <c r="B20" s="36">
        <v>100018</v>
      </c>
      <c r="C20" s="37">
        <f t="shared" ca="1" si="0"/>
        <v>7</v>
      </c>
      <c r="D20" s="40">
        <f ca="1">IF(B20 = "", "", PRODUCT(C20,VLOOKUP(B20,'Data Study List'!$A$3:$J$200,10,FALSE)))</f>
        <v>19.819800000000001</v>
      </c>
      <c r="F20" s="44"/>
    </row>
    <row r="21" spans="2:6" x14ac:dyDescent="0.25">
      <c r="B21" s="36"/>
      <c r="C21" s="37"/>
      <c r="D21" s="40" t="str">
        <f>IF(B21 = "", "", PRODUCT(C21,VLOOKUP(B21,'Data Study List'!$A$3:$J$200,10,FALSE)))</f>
        <v/>
      </c>
      <c r="F21" s="44"/>
    </row>
    <row r="22" spans="2:6" x14ac:dyDescent="0.25">
      <c r="B22" s="36"/>
      <c r="C22" s="37"/>
      <c r="D22" s="40" t="str">
        <f>IF(B22 = "", "", PRODUCT(C22,VLOOKUP(B22,'Data Study List'!$A$3:$J$200,10,FALSE)))</f>
        <v/>
      </c>
    </row>
    <row r="23" spans="2:6" x14ac:dyDescent="0.25">
      <c r="B23" s="36"/>
      <c r="C23" s="37"/>
      <c r="D23" s="40" t="str">
        <f>IF(B23 = "", "", PRODUCT(C23,VLOOKUP(B23,'Data Study List'!$A$3:$J$200,10,FALSE)))</f>
        <v/>
      </c>
    </row>
    <row r="24" spans="2:6" x14ac:dyDescent="0.25">
      <c r="B24" s="36"/>
      <c r="C24" s="37"/>
      <c r="D24" s="40" t="str">
        <f>IF(B24 = "", "", PRODUCT(C24,VLOOKUP(B24,'Data Study List'!$A$3:$J$200,10,FALSE)))</f>
        <v/>
      </c>
    </row>
    <row r="25" spans="2:6" x14ac:dyDescent="0.25">
      <c r="B25" s="36"/>
      <c r="C25" s="37"/>
      <c r="D25" s="40" t="str">
        <f>IF(B25 = "", "", PRODUCT(C25,VLOOKUP(B25,'Data Study List'!$A$3:$J$200,10,FALSE)))</f>
        <v/>
      </c>
    </row>
    <row r="26" spans="2:6" x14ac:dyDescent="0.25">
      <c r="B26" s="36"/>
      <c r="C26" s="37"/>
      <c r="D26" s="40" t="str">
        <f>IF(B26 = "", "", PRODUCT(C26,VLOOKUP(B26,'Data Study List'!$A$3:$J$200,10,FALSE)))</f>
        <v/>
      </c>
    </row>
    <row r="27" spans="2:6" x14ac:dyDescent="0.25">
      <c r="B27" s="36"/>
      <c r="C27" s="37"/>
      <c r="D27" s="40" t="str">
        <f>IF(B27 = "", "", PRODUCT(C27,VLOOKUP(B27,'Data Study List'!$A$3:$J$200,10,FALSE)))</f>
        <v/>
      </c>
    </row>
    <row r="28" spans="2:6" x14ac:dyDescent="0.25">
      <c r="B28" s="36"/>
      <c r="C28" s="37"/>
      <c r="D28" s="40" t="str">
        <f>IF(B28 = "", "", PRODUCT(C28,VLOOKUP(B28,'Data Study List'!$A$3:$J$200,10,FALSE)))</f>
        <v/>
      </c>
    </row>
    <row r="29" spans="2:6" x14ac:dyDescent="0.25">
      <c r="B29" s="36"/>
      <c r="C29" s="37"/>
      <c r="D29" s="40" t="str">
        <f>IF(B29 = "", "", PRODUCT(C29,VLOOKUP(B29,'Data Study List'!$A$3:$J$200,10,FALSE)))</f>
        <v/>
      </c>
    </row>
    <row r="30" spans="2:6" x14ac:dyDescent="0.25">
      <c r="B30" s="36"/>
      <c r="C30" s="37"/>
      <c r="D30" s="40" t="str">
        <f>IF(B30 = "", "", PRODUCT(C30,VLOOKUP(B30,'Data Study List'!$A$3:$J$200,10,FALSE)))</f>
        <v/>
      </c>
    </row>
    <row r="31" spans="2:6" x14ac:dyDescent="0.25">
      <c r="B31" s="36"/>
      <c r="C31" s="37"/>
      <c r="D31" s="40" t="str">
        <f>IF(B31 = "", "", PRODUCT(C31,VLOOKUP(B31,'Data Study List'!$A$3:$J$200,10,FALSE)))</f>
        <v/>
      </c>
    </row>
    <row r="32" spans="2:6" x14ac:dyDescent="0.25">
      <c r="B32" s="36"/>
      <c r="C32" s="37"/>
      <c r="D32" s="40" t="str">
        <f>IF(B32 = "", "", PRODUCT(C32,VLOOKUP(B32,'Data Study List'!$A$3:$J$200,10,FALSE)))</f>
        <v/>
      </c>
    </row>
    <row r="33" spans="2:4" x14ac:dyDescent="0.25">
      <c r="B33" s="36"/>
      <c r="C33" s="37"/>
      <c r="D33" s="40" t="str">
        <f>IF(B33 = "", "", PRODUCT(C33,VLOOKUP(B33,'Data Study List'!$A$3:$J$200,10,FALSE)))</f>
        <v/>
      </c>
    </row>
    <row r="34" spans="2:4" x14ac:dyDescent="0.25">
      <c r="B34" s="36"/>
      <c r="C34" s="37"/>
      <c r="D34" s="40" t="str">
        <f>IF(B34 = "", "", PRODUCT(C34,VLOOKUP(B34,'Data Study List'!$A$3:$J$200,10,FALSE)))</f>
        <v/>
      </c>
    </row>
    <row r="35" spans="2:4" x14ac:dyDescent="0.25">
      <c r="B35" s="36"/>
      <c r="C35" s="37"/>
      <c r="D35" s="40" t="str">
        <f>IF(B35 = "", "", PRODUCT(C35,VLOOKUP(B35,'Data Study List'!$A$3:$J$200,10,FALSE)))</f>
        <v/>
      </c>
    </row>
    <row r="36" spans="2:4" x14ac:dyDescent="0.25">
      <c r="B36" s="36"/>
      <c r="C36" s="37"/>
      <c r="D36" s="40" t="str">
        <f>IF(B36 = "", "", PRODUCT(C36,VLOOKUP(B36,'Data Study List'!$A$3:$J$200,10,FALSE)))</f>
        <v/>
      </c>
    </row>
    <row r="37" spans="2:4" x14ac:dyDescent="0.25">
      <c r="B37" s="36"/>
      <c r="C37" s="37"/>
      <c r="D37" s="40" t="str">
        <f>IF(B37 = "", "", PRODUCT(C37,VLOOKUP(B37,'Data Study List'!$A$3:$J$200,10,FALSE)))</f>
        <v/>
      </c>
    </row>
    <row r="38" spans="2:4" x14ac:dyDescent="0.25">
      <c r="B38" s="36"/>
      <c r="C38" s="37"/>
      <c r="D38" s="40" t="str">
        <f>IF(B38 = "", "", PRODUCT(C38,VLOOKUP(B38,'Data Study List'!$A$3:$J$200,10,FALSE)))</f>
        <v/>
      </c>
    </row>
    <row r="39" spans="2:4" x14ac:dyDescent="0.25">
      <c r="B39" s="36"/>
      <c r="C39" s="37"/>
      <c r="D39" s="40" t="str">
        <f>IF(B39 = "", "", PRODUCT(C39,VLOOKUP(B39,'Data Study List'!$A$3:$J$200,10,FALSE)))</f>
        <v/>
      </c>
    </row>
    <row r="40" spans="2:4" ht="15.75" thickBot="1" x14ac:dyDescent="0.3">
      <c r="B40" s="38"/>
      <c r="C40" s="39"/>
      <c r="D40" s="45" t="str">
        <f>IF(B40 = "", "", PRODUCT(C40,VLOOKUP(B40,'Data Study List'!$A$3:$J$200,10,FALSE)))</f>
        <v/>
      </c>
    </row>
    <row r="41" spans="2:4" x14ac:dyDescent="0.25">
      <c r="B41"/>
      <c r="C41"/>
      <c r="D41"/>
    </row>
    <row r="42" spans="2:4" x14ac:dyDescent="0.25">
      <c r="B42"/>
      <c r="C42"/>
      <c r="D42"/>
    </row>
    <row r="43" spans="2:4" x14ac:dyDescent="0.25">
      <c r="B43"/>
      <c r="C43"/>
      <c r="D43"/>
    </row>
    <row r="44" spans="2:4" x14ac:dyDescent="0.25">
      <c r="B44"/>
      <c r="C44"/>
      <c r="D44"/>
    </row>
    <row r="45" spans="2:4" x14ac:dyDescent="0.25">
      <c r="B45"/>
      <c r="C45"/>
      <c r="D45"/>
    </row>
    <row r="46" spans="2:4" x14ac:dyDescent="0.25">
      <c r="B46"/>
      <c r="C46"/>
      <c r="D46"/>
    </row>
    <row r="47" spans="2:4" x14ac:dyDescent="0.25">
      <c r="B47"/>
      <c r="C47"/>
      <c r="D47"/>
    </row>
    <row r="48" spans="2:4" x14ac:dyDescent="0.25">
      <c r="B48"/>
      <c r="C48"/>
      <c r="D48"/>
    </row>
    <row r="49" spans="2:4" x14ac:dyDescent="0.25">
      <c r="B49"/>
      <c r="C49"/>
      <c r="D49"/>
    </row>
    <row r="50" spans="2:4" x14ac:dyDescent="0.25">
      <c r="B50"/>
      <c r="C50"/>
      <c r="D50"/>
    </row>
    <row r="51" spans="2:4" x14ac:dyDescent="0.25">
      <c r="B51"/>
      <c r="C51"/>
      <c r="D51"/>
    </row>
    <row r="52" spans="2:4" x14ac:dyDescent="0.25">
      <c r="B52"/>
      <c r="C52"/>
      <c r="D52"/>
    </row>
    <row r="53" spans="2:4" x14ac:dyDescent="0.25">
      <c r="B53"/>
      <c r="C53"/>
      <c r="D53"/>
    </row>
    <row r="54" spans="2:4" x14ac:dyDescent="0.25">
      <c r="B54"/>
      <c r="C54"/>
      <c r="D54"/>
    </row>
    <row r="55" spans="2:4" x14ac:dyDescent="0.25">
      <c r="B55"/>
      <c r="C55"/>
      <c r="D55"/>
    </row>
    <row r="56" spans="2:4" x14ac:dyDescent="0.25">
      <c r="B56"/>
      <c r="C56"/>
      <c r="D56"/>
    </row>
    <row r="57" spans="2:4" x14ac:dyDescent="0.25">
      <c r="B57"/>
      <c r="C57"/>
      <c r="D57"/>
    </row>
    <row r="58" spans="2:4" x14ac:dyDescent="0.25">
      <c r="B58"/>
      <c r="C58"/>
      <c r="D58"/>
    </row>
    <row r="59" spans="2:4" x14ac:dyDescent="0.25">
      <c r="B59"/>
      <c r="C59"/>
      <c r="D59"/>
    </row>
    <row r="60" spans="2:4" x14ac:dyDescent="0.25">
      <c r="B60"/>
      <c r="C60"/>
      <c r="D60"/>
    </row>
    <row r="61" spans="2:4" x14ac:dyDescent="0.25">
      <c r="B61"/>
      <c r="C61"/>
      <c r="D61"/>
    </row>
  </sheetData>
  <sheetProtection algorithmName="SHA-512" hashValue="6AsWsH03Rv6GeN9h2ZuDe6bl5TDiM/lSGuHIRhxFJP4VVv13/kwyXyAwnMYzMsqNPsIelMSje4xtqWsrTtmxDw==" saltValue="f/MqlQl5wGYtVkX2M9olRA==" spinCount="100000" sheet="1" objects="1" scenarios="1"/>
  <mergeCells count="6">
    <mergeCell ref="B9:D9"/>
    <mergeCell ref="B2:D2"/>
    <mergeCell ref="C3:D3"/>
    <mergeCell ref="C4:D4"/>
    <mergeCell ref="B5:D5"/>
    <mergeCell ref="B8:D8"/>
  </mergeCells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C532E-5BD6-4423-92A0-8074F9D9E66C}">
  <sheetPr codeName="Sheet12">
    <tabColor theme="3" tint="0.59999389629810485"/>
  </sheetPr>
  <dimension ref="B1:F61"/>
  <sheetViews>
    <sheetView showGridLines="0" tabSelected="1" workbookViewId="0">
      <selection activeCell="J19" sqref="J19"/>
    </sheetView>
  </sheetViews>
  <sheetFormatPr defaultColWidth="30.7109375" defaultRowHeight="15" x14ac:dyDescent="0.25"/>
  <cols>
    <col min="1" max="1" width="20.7109375" style="12" customWidth="1"/>
    <col min="2" max="4" width="30.7109375" style="12"/>
    <col min="5" max="5" width="5.28515625" style="12" customWidth="1"/>
    <col min="6" max="6" width="24.140625" style="12" customWidth="1"/>
    <col min="7" max="16384" width="30.7109375" style="12"/>
  </cols>
  <sheetData>
    <row r="1" spans="2:6" ht="15.75" thickBot="1" x14ac:dyDescent="0.3"/>
    <row r="2" spans="2:6" ht="62.25" customHeight="1" x14ac:dyDescent="0.25">
      <c r="B2" s="65" t="s">
        <v>36</v>
      </c>
      <c r="C2" s="66"/>
      <c r="D2" s="67"/>
    </row>
    <row r="3" spans="2:6" ht="30" customHeight="1" x14ac:dyDescent="0.25">
      <c r="B3" s="29" t="s">
        <v>40</v>
      </c>
      <c r="C3" s="68" t="s">
        <v>48</v>
      </c>
      <c r="D3" s="64"/>
      <c r="F3"/>
    </row>
    <row r="4" spans="2:6" ht="30" customHeight="1" x14ac:dyDescent="0.25">
      <c r="B4" s="29" t="s">
        <v>125</v>
      </c>
      <c r="C4" s="63" t="s">
        <v>129</v>
      </c>
      <c r="D4" s="64"/>
      <c r="F4"/>
    </row>
    <row r="5" spans="2:6" ht="8.1" customHeight="1" x14ac:dyDescent="0.25">
      <c r="B5" s="72"/>
      <c r="C5" s="73"/>
      <c r="D5" s="74"/>
      <c r="F5"/>
    </row>
    <row r="6" spans="2:6" ht="72" customHeight="1" x14ac:dyDescent="0.25">
      <c r="B6" s="30">
        <f>COUNTA($B$11:$B$61)</f>
        <v>17</v>
      </c>
      <c r="C6" s="31">
        <f ca="1">SUM($C$11:$C$61)</f>
        <v>67</v>
      </c>
      <c r="D6" s="32">
        <f ca="1">SUM($D$11:$D$61)</f>
        <v>244.83640000000003</v>
      </c>
      <c r="F6"/>
    </row>
    <row r="7" spans="2:6" ht="42.75" customHeight="1" x14ac:dyDescent="0.25">
      <c r="B7" s="26" t="s">
        <v>37</v>
      </c>
      <c r="C7" s="27" t="s">
        <v>39</v>
      </c>
      <c r="D7" s="28" t="s">
        <v>42</v>
      </c>
      <c r="F7"/>
    </row>
    <row r="8" spans="2:6" ht="60" customHeight="1" x14ac:dyDescent="0.25">
      <c r="B8" s="60" t="s">
        <v>126</v>
      </c>
      <c r="C8" s="61"/>
      <c r="D8" s="62"/>
      <c r="F8" s="44"/>
    </row>
    <row r="9" spans="2:6" ht="26.25" customHeight="1" x14ac:dyDescent="0.25">
      <c r="B9" s="69" t="s">
        <v>41</v>
      </c>
      <c r="C9" s="70"/>
      <c r="D9" s="71"/>
      <c r="F9" s="44"/>
    </row>
    <row r="10" spans="2:6" x14ac:dyDescent="0.25">
      <c r="B10" s="33" t="s">
        <v>0</v>
      </c>
      <c r="C10" s="34" t="s">
        <v>43</v>
      </c>
      <c r="D10" s="35" t="s">
        <v>38</v>
      </c>
      <c r="F10" s="44"/>
    </row>
    <row r="11" spans="2:6" x14ac:dyDescent="0.25">
      <c r="B11" s="36">
        <v>100017</v>
      </c>
      <c r="C11" s="37">
        <f t="shared" ref="C11" ca="1" si="0" xml:space="preserve"> RANDBETWEEN(0,10)</f>
        <v>7</v>
      </c>
      <c r="D11" s="40">
        <f ca="1">IF(B11 = "", "", PRODUCT(C11,VLOOKUP(B11,'Data Study List'!$A$3:$J$200,10,FALSE)))</f>
        <v>20.020000000000003</v>
      </c>
      <c r="F11" s="44"/>
    </row>
    <row r="12" spans="2:6" x14ac:dyDescent="0.25">
      <c r="B12" s="36">
        <v>100016</v>
      </c>
      <c r="C12" s="37">
        <v>4</v>
      </c>
      <c r="D12" s="40">
        <f>IF(B12 = "", "", PRODUCT(C12,VLOOKUP(B12,'Data Study List'!$A$3:$J$200,10,FALSE)))</f>
        <v>13.200000000000001</v>
      </c>
      <c r="F12" s="44"/>
    </row>
    <row r="13" spans="2:6" x14ac:dyDescent="0.25">
      <c r="B13" s="36">
        <v>100015</v>
      </c>
      <c r="C13" s="37">
        <f t="shared" ref="C13:C27" ca="1" si="1" xml:space="preserve"> RANDBETWEEN(0,10)</f>
        <v>5</v>
      </c>
      <c r="D13" s="40">
        <f ca="1">IF(B13 = "", "", PRODUCT(C13,VLOOKUP(B13,'Data Study List'!$A$3:$J$200,10,FALSE)))</f>
        <v>17.160000000000004</v>
      </c>
      <c r="F13" s="44"/>
    </row>
    <row r="14" spans="2:6" x14ac:dyDescent="0.25">
      <c r="B14" s="36">
        <v>100014</v>
      </c>
      <c r="C14" s="37">
        <f t="shared" ca="1" si="1"/>
        <v>0</v>
      </c>
      <c r="D14" s="40">
        <f ca="1">IF(B14 = "", "", PRODUCT(C14,VLOOKUP(B14,'Data Study List'!$A$3:$J$200,10,FALSE)))</f>
        <v>0</v>
      </c>
      <c r="F14" s="44"/>
    </row>
    <row r="15" spans="2:6" x14ac:dyDescent="0.25">
      <c r="B15" s="36">
        <v>100013</v>
      </c>
      <c r="C15" s="37">
        <f t="shared" ca="1" si="1"/>
        <v>1</v>
      </c>
      <c r="D15" s="40">
        <f ca="1">IF(B15 = "", "", PRODUCT(C15,VLOOKUP(B15,'Data Study List'!$A$3:$J$200,10,FALSE)))</f>
        <v>1.1000000000000001</v>
      </c>
      <c r="F15" s="44"/>
    </row>
    <row r="16" spans="2:6" x14ac:dyDescent="0.25">
      <c r="B16" s="36">
        <v>100012</v>
      </c>
      <c r="C16" s="37">
        <v>4</v>
      </c>
      <c r="D16" s="40">
        <f>IF(B16 = "", "", PRODUCT(C16,VLOOKUP(B16,'Data Study List'!$A$3:$J$200,10,FALSE)))</f>
        <v>9.4380000000000024</v>
      </c>
      <c r="F16" s="44"/>
    </row>
    <row r="17" spans="2:6" x14ac:dyDescent="0.25">
      <c r="B17" s="36">
        <v>100011</v>
      </c>
      <c r="C17" s="37">
        <v>5</v>
      </c>
      <c r="D17" s="40">
        <f>IF(B17 = "", "", PRODUCT(C17,VLOOKUP(B17,'Data Study List'!$A$3:$J$200,10,FALSE)))</f>
        <v>17.160000000000004</v>
      </c>
      <c r="F17" s="44"/>
    </row>
    <row r="18" spans="2:6" x14ac:dyDescent="0.25">
      <c r="B18" s="36">
        <v>100010</v>
      </c>
      <c r="C18" s="37">
        <f t="shared" ca="1" si="1"/>
        <v>0</v>
      </c>
      <c r="D18" s="40">
        <f ca="1">IF(B18 = "", "", PRODUCT(C18,VLOOKUP(B18,'Data Study List'!$A$3:$J$200,10,FALSE)))</f>
        <v>0</v>
      </c>
      <c r="F18" s="44"/>
    </row>
    <row r="19" spans="2:6" x14ac:dyDescent="0.25">
      <c r="B19" s="36">
        <v>100009</v>
      </c>
      <c r="C19" s="37">
        <v>4</v>
      </c>
      <c r="D19" s="40">
        <f>IF(B19 = "", "", PRODUCT(C19,VLOOKUP(B19,'Data Study List'!$A$3:$J$200,10,FALSE)))</f>
        <v>2.2000000000000002</v>
      </c>
      <c r="F19" s="44"/>
    </row>
    <row r="20" spans="2:6" x14ac:dyDescent="0.25">
      <c r="B20" s="36">
        <v>100008</v>
      </c>
      <c r="C20" s="37">
        <f t="shared" ref="C20" ca="1" si="2" xml:space="preserve"> RANDBETWEEN(0,10)</f>
        <v>0</v>
      </c>
      <c r="D20" s="40">
        <f ca="1">IF(B20 = "", "", PRODUCT(C20,VLOOKUP(B20,'Data Study List'!$A$3:$J$200,10,FALSE)))</f>
        <v>0</v>
      </c>
      <c r="F20" s="44"/>
    </row>
    <row r="21" spans="2:6" x14ac:dyDescent="0.25">
      <c r="B21" s="36">
        <v>100007</v>
      </c>
      <c r="C21" s="37">
        <v>4</v>
      </c>
      <c r="D21" s="40">
        <f>IF(B21 = "", "", PRODUCT(C21,VLOOKUP(B21,'Data Study List'!$A$3:$J$200,10,FALSE)))</f>
        <v>12.168000000000001</v>
      </c>
      <c r="F21" s="44"/>
    </row>
    <row r="22" spans="2:6" x14ac:dyDescent="0.25">
      <c r="B22" s="36">
        <v>100006</v>
      </c>
      <c r="C22" s="37">
        <f t="shared" ca="1" si="1"/>
        <v>10</v>
      </c>
      <c r="D22" s="40">
        <f ca="1">IF(B22 = "", "", PRODUCT(C22,VLOOKUP(B22,'Data Study List'!$A$3:$J$200,10,FALSE)))</f>
        <v>62.400000000000006</v>
      </c>
    </row>
    <row r="23" spans="2:6" x14ac:dyDescent="0.25">
      <c r="B23" s="36">
        <v>100005</v>
      </c>
      <c r="C23" s="37">
        <f t="shared" ca="1" si="1"/>
        <v>9</v>
      </c>
      <c r="D23" s="40">
        <f ca="1">IF(B23 = "", "", PRODUCT(C23,VLOOKUP(B23,'Data Study List'!$A$3:$J$200,10,FALSE)))</f>
        <v>27</v>
      </c>
    </row>
    <row r="24" spans="2:6" x14ac:dyDescent="0.25">
      <c r="B24" s="36">
        <v>100004</v>
      </c>
      <c r="C24" s="37">
        <v>4</v>
      </c>
      <c r="D24" s="40">
        <f>IF(B24 = "", "", PRODUCT(C24,VLOOKUP(B24,'Data Study List'!$A$3:$J$200,10,FALSE)))</f>
        <v>7.5504000000000016</v>
      </c>
    </row>
    <row r="25" spans="2:6" x14ac:dyDescent="0.25">
      <c r="B25" s="36">
        <v>100003</v>
      </c>
      <c r="C25" s="37">
        <f t="shared" ca="1" si="1"/>
        <v>3</v>
      </c>
      <c r="D25" s="40">
        <f ca="1">IF(B25 = "", "", PRODUCT(C25,VLOOKUP(B25,'Data Study List'!$A$3:$J$200,10,FALSE)))</f>
        <v>21.780000000000005</v>
      </c>
    </row>
    <row r="26" spans="2:6" x14ac:dyDescent="0.25">
      <c r="B26" s="36">
        <v>100002</v>
      </c>
      <c r="C26" s="37">
        <f t="shared" ca="1" si="1"/>
        <v>3</v>
      </c>
      <c r="D26" s="40">
        <f ca="1">IF(B26 = "", "", PRODUCT(C26,VLOOKUP(B26,'Data Study List'!$A$3:$J$200,10,FALSE)))</f>
        <v>25.740000000000006</v>
      </c>
    </row>
    <row r="27" spans="2:6" x14ac:dyDescent="0.25">
      <c r="B27" s="36">
        <v>100001</v>
      </c>
      <c r="C27" s="37">
        <f t="shared" ca="1" si="1"/>
        <v>4</v>
      </c>
      <c r="D27" s="40">
        <f ca="1">IF(B27 = "", "", PRODUCT(C27,VLOOKUP(B27,'Data Study List'!$A$3:$J$200,10,FALSE)))</f>
        <v>7.92</v>
      </c>
    </row>
    <row r="28" spans="2:6" x14ac:dyDescent="0.25">
      <c r="B28" s="36"/>
      <c r="C28" s="37"/>
      <c r="D28" s="40" t="str">
        <f>IF(B28 = "", "", PRODUCT(C28,VLOOKUP(B28,'Data Study List'!$A$3:$J$200,10,FALSE)))</f>
        <v/>
      </c>
    </row>
    <row r="29" spans="2:6" x14ac:dyDescent="0.25">
      <c r="B29" s="36"/>
      <c r="C29" s="37"/>
      <c r="D29" s="40" t="str">
        <f>IF(B29 = "", "", PRODUCT(C29,VLOOKUP(B29,'Data Study List'!$A$3:$J$200,10,FALSE)))</f>
        <v/>
      </c>
    </row>
    <row r="30" spans="2:6" x14ac:dyDescent="0.25">
      <c r="B30" s="36"/>
      <c r="C30" s="37"/>
      <c r="D30" s="40" t="str">
        <f>IF(B30 = "", "", PRODUCT(C30,VLOOKUP(B30,'Data Study List'!$A$3:$J$200,10,FALSE)))</f>
        <v/>
      </c>
    </row>
    <row r="31" spans="2:6" x14ac:dyDescent="0.25">
      <c r="B31" s="36"/>
      <c r="C31" s="37"/>
      <c r="D31" s="40" t="str">
        <f>IF(B31 = "", "", PRODUCT(C31,VLOOKUP(B31,'Data Study List'!$A$3:$J$200,10,FALSE)))</f>
        <v/>
      </c>
    </row>
    <row r="32" spans="2:6" x14ac:dyDescent="0.25">
      <c r="B32" s="36"/>
      <c r="C32" s="37"/>
      <c r="D32" s="40" t="str">
        <f>IF(B32 = "", "", PRODUCT(C32,VLOOKUP(B32,'Data Study List'!$A$3:$J$200,10,FALSE)))</f>
        <v/>
      </c>
    </row>
    <row r="33" spans="2:4" x14ac:dyDescent="0.25">
      <c r="B33" s="36"/>
      <c r="C33" s="37"/>
      <c r="D33" s="40" t="str">
        <f>IF(B33 = "", "", PRODUCT(C33,VLOOKUP(B33,'Data Study List'!$A$3:$J$200,10,FALSE)))</f>
        <v/>
      </c>
    </row>
    <row r="34" spans="2:4" x14ac:dyDescent="0.25">
      <c r="B34" s="36"/>
      <c r="C34" s="37"/>
      <c r="D34" s="40" t="str">
        <f>IF(B34 = "", "", PRODUCT(C34,VLOOKUP(B34,'Data Study List'!$A$3:$J$200,10,FALSE)))</f>
        <v/>
      </c>
    </row>
    <row r="35" spans="2:4" x14ac:dyDescent="0.25">
      <c r="B35" s="36"/>
      <c r="C35" s="37"/>
      <c r="D35" s="40" t="str">
        <f>IF(B35 = "", "", PRODUCT(C35,VLOOKUP(B35,'Data Study List'!$A$3:$J$200,10,FALSE)))</f>
        <v/>
      </c>
    </row>
    <row r="36" spans="2:4" x14ac:dyDescent="0.25">
      <c r="B36" s="36"/>
      <c r="C36" s="37"/>
      <c r="D36" s="40" t="str">
        <f>IF(B36 = "", "", PRODUCT(C36,VLOOKUP(B36,'Data Study List'!$A$3:$J$200,10,FALSE)))</f>
        <v/>
      </c>
    </row>
    <row r="37" spans="2:4" x14ac:dyDescent="0.25">
      <c r="B37" s="36"/>
      <c r="C37" s="37"/>
      <c r="D37" s="40" t="str">
        <f>IF(B37 = "", "", PRODUCT(C37,VLOOKUP(B37,'Data Study List'!$A$3:$J$200,10,FALSE)))</f>
        <v/>
      </c>
    </row>
    <row r="38" spans="2:4" x14ac:dyDescent="0.25">
      <c r="B38" s="36"/>
      <c r="C38" s="37"/>
      <c r="D38" s="40" t="str">
        <f>IF(B38 = "", "", PRODUCT(C38,VLOOKUP(B38,'Data Study List'!$A$3:$J$200,10,FALSE)))</f>
        <v/>
      </c>
    </row>
    <row r="39" spans="2:4" x14ac:dyDescent="0.25">
      <c r="B39" s="36"/>
      <c r="C39" s="37"/>
      <c r="D39" s="40" t="str">
        <f>IF(B39 = "", "", PRODUCT(C39,VLOOKUP(B39,'Data Study List'!$A$3:$J$200,10,FALSE)))</f>
        <v/>
      </c>
    </row>
    <row r="40" spans="2:4" ht="15.75" thickBot="1" x14ac:dyDescent="0.3">
      <c r="B40" s="38"/>
      <c r="C40" s="39"/>
      <c r="D40" s="45" t="str">
        <f>IF(B40 = "", "", PRODUCT(C40,VLOOKUP(B40,'Data Study List'!$A$3:$J$200,10,FALSE)))</f>
        <v/>
      </c>
    </row>
    <row r="41" spans="2:4" x14ac:dyDescent="0.25">
      <c r="B41"/>
      <c r="C41"/>
      <c r="D41"/>
    </row>
    <row r="42" spans="2:4" x14ac:dyDescent="0.25">
      <c r="B42"/>
      <c r="C42"/>
      <c r="D42"/>
    </row>
    <row r="43" spans="2:4" x14ac:dyDescent="0.25">
      <c r="B43"/>
      <c r="C43"/>
      <c r="D43"/>
    </row>
    <row r="44" spans="2:4" x14ac:dyDescent="0.25">
      <c r="B44"/>
      <c r="C44"/>
      <c r="D44"/>
    </row>
    <row r="45" spans="2:4" x14ac:dyDescent="0.25">
      <c r="B45"/>
      <c r="C45"/>
      <c r="D45"/>
    </row>
    <row r="46" spans="2:4" x14ac:dyDescent="0.25">
      <c r="B46"/>
      <c r="C46"/>
      <c r="D46"/>
    </row>
    <row r="47" spans="2:4" x14ac:dyDescent="0.25">
      <c r="B47"/>
      <c r="C47"/>
      <c r="D47"/>
    </row>
    <row r="48" spans="2:4" x14ac:dyDescent="0.25">
      <c r="B48"/>
      <c r="C48"/>
      <c r="D48"/>
    </row>
    <row r="49" spans="2:4" x14ac:dyDescent="0.25">
      <c r="B49"/>
      <c r="C49"/>
      <c r="D49"/>
    </row>
    <row r="50" spans="2:4" x14ac:dyDescent="0.25">
      <c r="B50"/>
      <c r="C50"/>
      <c r="D50"/>
    </row>
    <row r="51" spans="2:4" x14ac:dyDescent="0.25">
      <c r="B51"/>
      <c r="C51"/>
      <c r="D51"/>
    </row>
    <row r="52" spans="2:4" x14ac:dyDescent="0.25">
      <c r="B52"/>
      <c r="C52"/>
      <c r="D52"/>
    </row>
    <row r="53" spans="2:4" x14ac:dyDescent="0.25">
      <c r="B53"/>
      <c r="C53"/>
      <c r="D53"/>
    </row>
    <row r="54" spans="2:4" x14ac:dyDescent="0.25">
      <c r="B54"/>
      <c r="C54"/>
      <c r="D54"/>
    </row>
    <row r="55" spans="2:4" x14ac:dyDescent="0.25">
      <c r="B55"/>
      <c r="C55"/>
      <c r="D55"/>
    </row>
    <row r="56" spans="2:4" x14ac:dyDescent="0.25">
      <c r="B56"/>
      <c r="C56"/>
      <c r="D56"/>
    </row>
    <row r="57" spans="2:4" x14ac:dyDescent="0.25">
      <c r="B57"/>
      <c r="C57"/>
      <c r="D57"/>
    </row>
    <row r="58" spans="2:4" x14ac:dyDescent="0.25">
      <c r="B58"/>
      <c r="C58"/>
      <c r="D58"/>
    </row>
    <row r="59" spans="2:4" x14ac:dyDescent="0.25">
      <c r="B59"/>
      <c r="C59"/>
      <c r="D59"/>
    </row>
    <row r="60" spans="2:4" x14ac:dyDescent="0.25">
      <c r="B60"/>
      <c r="C60"/>
      <c r="D60"/>
    </row>
    <row r="61" spans="2:4" x14ac:dyDescent="0.25">
      <c r="B61"/>
      <c r="C61"/>
      <c r="D61"/>
    </row>
  </sheetData>
  <sheetProtection algorithmName="SHA-512" hashValue="9ysMMpJGCyEc4huPqr+kdfy+Ivs8c19Hp0Xnj/6zHlbwVlOHzTyCrs3JAYzEytMV6KHnXPZLii7MtDSYrRsOZA==" saltValue="SrHJQ44jtQLo/q90tDSMMA==" spinCount="100000" sheet="1" objects="1" scenarios="1"/>
  <mergeCells count="6">
    <mergeCell ref="B9:D9"/>
    <mergeCell ref="B2:D2"/>
    <mergeCell ref="C3:D3"/>
    <mergeCell ref="C4:D4"/>
    <mergeCell ref="B5:D5"/>
    <mergeCell ref="B8:D8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Macro</vt:lpstr>
      <vt:lpstr>DATA Multiplier Table</vt:lpstr>
      <vt:lpstr>Data Study List</vt:lpstr>
      <vt:lpstr>New Study Criteria Form</vt:lpstr>
      <vt:lpstr>DATA CRC 1</vt:lpstr>
      <vt:lpstr>DATA CRC 2</vt:lpstr>
      <vt:lpstr>DATA CRC 3</vt:lpstr>
      <vt:lpstr>DATA CRC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Mhatre, Soham</dc:creator>
  <cp:lastModifiedBy>Soham Mhatre</cp:lastModifiedBy>
  <dcterms:created xsi:type="dcterms:W3CDTF">2025-08-18T16:37:38Z</dcterms:created>
  <dcterms:modified xsi:type="dcterms:W3CDTF">2025-11-08T02:57:42Z</dcterms:modified>
</cp:coreProperties>
</file>